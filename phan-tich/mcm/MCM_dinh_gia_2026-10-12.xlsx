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0" documentId="13_ncr:1_{63B5F88D-C5EE-4E1E-8028-E8E09E7BF050}" xr6:coauthVersionLast="47" xr6:coauthVersionMax="47" xr10:uidLastSave="{00000000-0000-0000-0000-000000000000}"/>
  <bookViews>
    <workbookView xWindow="3840" yWindow="3840" windowWidth="23040" windowHeight="13560" xr2:uid="{00000000-000D-0000-FFFF-FFFF00000000}"/>
  </bookViews>
  <sheets>
    <sheet name="00_Tổng hợp" sheetId="1" r:id="rId1"/>
    <sheet name="01_Số liệu gốc" sheetId="2" r:id="rId2"/>
    <sheet name="02_Giả định" sheetId="3" r:id="rId3"/>
    <sheet name="03_Định giá" sheetId="4" r:id="rId4"/>
    <sheet name="04_Độ nhạy" sheetId="5" r:id="rId5"/>
    <sheet name="05_Đối chiếu" sheetId="6" r:id="rId6"/>
    <sheet name="06_Dự án" sheetId="7" r:id="rId7"/>
  </sheets>
  <definedNames>
    <definedName name="_xlnm.Print_Area" localSheetId="0">'00_Tổng hợp'!$A$1:$F$89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G21" i="7"/>
  <c r="B48" i="5"/>
  <c r="W177" i="4"/>
  <c r="W153" i="4"/>
  <c r="W129" i="4"/>
  <c r="W105" i="4"/>
  <c r="E20" i="7"/>
  <c r="E8" i="7"/>
  <c r="E7" i="7"/>
  <c r="E6" i="7"/>
  <c r="F52" i="6"/>
  <c r="D42" i="6"/>
  <c r="C42" i="6"/>
  <c r="B42" i="6"/>
  <c r="D31" i="6"/>
  <c r="C31" i="6"/>
  <c r="B31" i="6"/>
  <c r="B12" i="6"/>
  <c r="B47" i="5"/>
  <c r="B44" i="5"/>
  <c r="B40" i="5"/>
  <c r="B39" i="5"/>
  <c r="B38" i="5"/>
  <c r="B37" i="5"/>
  <c r="B36" i="5"/>
  <c r="B35" i="5"/>
  <c r="B34" i="5"/>
  <c r="B258" i="4"/>
  <c r="D254" i="4"/>
  <c r="D18" i="1" s="1"/>
  <c r="C254" i="4"/>
  <c r="C18" i="1" s="1"/>
  <c r="B254" i="4"/>
  <c r="B18" i="1" s="1"/>
  <c r="E249" i="4"/>
  <c r="E248" i="4"/>
  <c r="E247" i="4"/>
  <c r="E246" i="4"/>
  <c r="E245" i="4"/>
  <c r="I208" i="4"/>
  <c r="I207" i="4"/>
  <c r="V177" i="4"/>
  <c r="U177" i="4"/>
  <c r="T177" i="4"/>
  <c r="S177" i="4"/>
  <c r="R177" i="4"/>
  <c r="Q177" i="4"/>
  <c r="P177" i="4"/>
  <c r="O177" i="4"/>
  <c r="N177" i="4"/>
  <c r="M177" i="4"/>
  <c r="L177" i="4"/>
  <c r="K177" i="4"/>
  <c r="J177" i="4"/>
  <c r="I177" i="4"/>
  <c r="H177" i="4"/>
  <c r="D177" i="4"/>
  <c r="C177" i="4"/>
  <c r="B177" i="4"/>
  <c r="V153" i="4"/>
  <c r="U153" i="4"/>
  <c r="T153" i="4"/>
  <c r="S153" i="4"/>
  <c r="R153" i="4"/>
  <c r="Q153" i="4"/>
  <c r="P153" i="4"/>
  <c r="O153" i="4"/>
  <c r="N153" i="4"/>
  <c r="M153" i="4"/>
  <c r="L153" i="4"/>
  <c r="K153" i="4"/>
  <c r="J153" i="4"/>
  <c r="I153" i="4"/>
  <c r="H153" i="4"/>
  <c r="D153" i="4"/>
  <c r="C153" i="4"/>
  <c r="B153" i="4"/>
  <c r="V129" i="4"/>
  <c r="U129" i="4"/>
  <c r="T129" i="4"/>
  <c r="S129" i="4"/>
  <c r="R129" i="4"/>
  <c r="Q129" i="4"/>
  <c r="P129" i="4"/>
  <c r="O129" i="4"/>
  <c r="N129" i="4"/>
  <c r="M129" i="4"/>
  <c r="L129" i="4"/>
  <c r="K129" i="4"/>
  <c r="J129" i="4"/>
  <c r="I129" i="4"/>
  <c r="H129" i="4"/>
  <c r="D129" i="4"/>
  <c r="C129" i="4"/>
  <c r="B129" i="4"/>
  <c r="V105" i="4"/>
  <c r="U105" i="4"/>
  <c r="T105" i="4"/>
  <c r="S105" i="4"/>
  <c r="R105" i="4"/>
  <c r="Q105" i="4"/>
  <c r="P105" i="4"/>
  <c r="O105" i="4"/>
  <c r="N105" i="4"/>
  <c r="M105" i="4"/>
  <c r="L105" i="4"/>
  <c r="K105" i="4"/>
  <c r="J105" i="4"/>
  <c r="I105" i="4"/>
  <c r="H105" i="4"/>
  <c r="D105" i="4"/>
  <c r="C105" i="4"/>
  <c r="B105" i="4"/>
  <c r="I70" i="4"/>
  <c r="D42" i="4"/>
  <c r="C42" i="4"/>
  <c r="W42" i="4" s="1"/>
  <c r="B42" i="4"/>
  <c r="D40" i="4"/>
  <c r="C40" i="4"/>
  <c r="B40" i="4"/>
  <c r="D39" i="4"/>
  <c r="C39" i="4"/>
  <c r="W39" i="4" s="1"/>
  <c r="B39" i="4"/>
  <c r="D38" i="4"/>
  <c r="C38" i="4"/>
  <c r="W38" i="4" s="1"/>
  <c r="B38" i="4"/>
  <c r="D37" i="4"/>
  <c r="C37" i="4"/>
  <c r="W37" i="4" s="1"/>
  <c r="B37" i="4"/>
  <c r="D36" i="4"/>
  <c r="C36" i="4"/>
  <c r="W36" i="4" s="1"/>
  <c r="B36" i="4"/>
  <c r="D35" i="4"/>
  <c r="C35" i="4"/>
  <c r="W35" i="4" s="1"/>
  <c r="B35" i="4"/>
  <c r="D34" i="4"/>
  <c r="C34" i="4"/>
  <c r="W34" i="4" s="1"/>
  <c r="B34" i="4"/>
  <c r="D33" i="4"/>
  <c r="C33" i="4"/>
  <c r="W33" i="4" s="1"/>
  <c r="B33" i="4"/>
  <c r="D32" i="4"/>
  <c r="C32" i="4"/>
  <c r="W32" i="4" s="1"/>
  <c r="B32" i="4"/>
  <c r="D31" i="4"/>
  <c r="C31" i="4"/>
  <c r="W31" i="4" s="1"/>
  <c r="B31" i="4"/>
  <c r="D30" i="4"/>
  <c r="C30" i="4"/>
  <c r="W30" i="4" s="1"/>
  <c r="B30" i="4"/>
  <c r="D29" i="4"/>
  <c r="C29" i="4"/>
  <c r="W29" i="4" s="1"/>
  <c r="B29" i="4"/>
  <c r="D28" i="4"/>
  <c r="C28" i="4"/>
  <c r="W28" i="4" s="1"/>
  <c r="B28" i="4"/>
  <c r="D27" i="4"/>
  <c r="C27" i="4"/>
  <c r="W27" i="4" s="1"/>
  <c r="B27" i="4"/>
  <c r="D26" i="4"/>
  <c r="C26" i="4"/>
  <c r="W26" i="4" s="1"/>
  <c r="B26" i="4"/>
  <c r="D25" i="4"/>
  <c r="C25" i="4"/>
  <c r="W25" i="4" s="1"/>
  <c r="B25" i="4"/>
  <c r="D24" i="4"/>
  <c r="C24" i="4"/>
  <c r="W24" i="4" s="1"/>
  <c r="B24" i="4"/>
  <c r="D23" i="4"/>
  <c r="C23" i="4"/>
  <c r="W23" i="4" s="1"/>
  <c r="B23" i="4"/>
  <c r="D22" i="4"/>
  <c r="C22" i="4"/>
  <c r="W22" i="4" s="1"/>
  <c r="B22" i="4"/>
  <c r="D21" i="4"/>
  <c r="C21" i="4"/>
  <c r="W21" i="4" s="1"/>
  <c r="B21" i="4"/>
  <c r="D20" i="4"/>
  <c r="C20" i="4"/>
  <c r="W20" i="4" s="1"/>
  <c r="B20" i="4"/>
  <c r="D19" i="4"/>
  <c r="C19" i="4"/>
  <c r="W19" i="4" s="1"/>
  <c r="B19" i="4"/>
  <c r="D18" i="4"/>
  <c r="C18" i="4"/>
  <c r="W18" i="4" s="1"/>
  <c r="B18" i="4"/>
  <c r="D17" i="4"/>
  <c r="C17" i="4"/>
  <c r="W17" i="4" s="1"/>
  <c r="B17" i="4"/>
  <c r="D16" i="4"/>
  <c r="C16" i="4"/>
  <c r="W16" i="4" s="1"/>
  <c r="B16" i="4"/>
  <c r="D15" i="4"/>
  <c r="C15" i="4"/>
  <c r="W15" i="4" s="1"/>
  <c r="B15" i="4"/>
  <c r="D14" i="4"/>
  <c r="C14" i="4"/>
  <c r="W14" i="4" s="1"/>
  <c r="B14" i="4"/>
  <c r="D13" i="4"/>
  <c r="C13" i="4"/>
  <c r="W13" i="4" s="1"/>
  <c r="B13" i="4"/>
  <c r="T12" i="4"/>
  <c r="B45" i="5" s="1"/>
  <c r="D12" i="4"/>
  <c r="C12" i="4"/>
  <c r="W12" i="4" s="1"/>
  <c r="B12" i="4"/>
  <c r="D11" i="4"/>
  <c r="C11" i="4"/>
  <c r="W11" i="4" s="1"/>
  <c r="B11" i="4"/>
  <c r="D10" i="4"/>
  <c r="C10" i="4"/>
  <c r="W10" i="4" s="1"/>
  <c r="B10" i="4"/>
  <c r="D9" i="4"/>
  <c r="C9" i="4"/>
  <c r="W9" i="4" s="1"/>
  <c r="B9" i="4"/>
  <c r="D8" i="4"/>
  <c r="C8" i="4"/>
  <c r="W8" i="4" s="1"/>
  <c r="B8" i="4"/>
  <c r="D7" i="4"/>
  <c r="C7" i="4"/>
  <c r="W7" i="4" s="1"/>
  <c r="B7" i="4"/>
  <c r="D6" i="4"/>
  <c r="C6" i="4"/>
  <c r="W6" i="4" s="1"/>
  <c r="B6" i="4"/>
  <c r="B74" i="3"/>
  <c r="C74" i="3" s="1"/>
  <c r="E70" i="3"/>
  <c r="E65" i="3"/>
  <c r="B49" i="3"/>
  <c r="B47" i="3"/>
  <c r="C44" i="3"/>
  <c r="B29" i="3"/>
  <c r="B24" i="3"/>
  <c r="C24" i="3" s="1"/>
  <c r="B11" i="3"/>
  <c r="B10" i="3"/>
  <c r="B137" i="2"/>
  <c r="E71" i="3" s="1"/>
  <c r="E128" i="2"/>
  <c r="D101" i="2"/>
  <c r="C101" i="2"/>
  <c r="D100" i="2"/>
  <c r="C100" i="2"/>
  <c r="D99" i="2"/>
  <c r="C99" i="2"/>
  <c r="D98" i="2"/>
  <c r="C98" i="2"/>
  <c r="D97" i="2"/>
  <c r="C97" i="2"/>
  <c r="D96" i="2"/>
  <c r="E96" i="2" s="1"/>
  <c r="D95" i="2"/>
  <c r="E95" i="2" s="1"/>
  <c r="D94" i="2"/>
  <c r="E94" i="2" s="1"/>
  <c r="F87" i="2"/>
  <c r="E87" i="2"/>
  <c r="D87" i="2"/>
  <c r="C87" i="2"/>
  <c r="B87" i="2"/>
  <c r="F86" i="2"/>
  <c r="E86" i="2"/>
  <c r="D86" i="2"/>
  <c r="C86" i="2"/>
  <c r="B86" i="2"/>
  <c r="F83" i="2"/>
  <c r="E83" i="2"/>
  <c r="D83" i="2"/>
  <c r="C83" i="2"/>
  <c r="B83" i="2"/>
  <c r="D82" i="2"/>
  <c r="C82" i="2"/>
  <c r="B82" i="2"/>
  <c r="C70" i="2"/>
  <c r="B70" i="2"/>
  <c r="C64" i="2"/>
  <c r="B64" i="2"/>
  <c r="C63" i="2"/>
  <c r="B63" i="2"/>
  <c r="H54" i="2"/>
  <c r="H53" i="2"/>
  <c r="H52" i="2"/>
  <c r="H51" i="2"/>
  <c r="E102" i="2" s="1"/>
  <c r="H50" i="2"/>
  <c r="H49" i="2"/>
  <c r="H48" i="2"/>
  <c r="H47" i="2"/>
  <c r="G46" i="2"/>
  <c r="F46" i="2"/>
  <c r="E46" i="2"/>
  <c r="D46" i="2"/>
  <c r="C46" i="2"/>
  <c r="B46" i="2"/>
  <c r="H45" i="2"/>
  <c r="B34" i="3" s="1"/>
  <c r="H44" i="2"/>
  <c r="B33" i="3" s="1"/>
  <c r="H43" i="2"/>
  <c r="H42" i="2"/>
  <c r="B30" i="3" s="1"/>
  <c r="B31" i="3" s="1"/>
  <c r="E58" i="3" s="1"/>
  <c r="F38" i="2"/>
  <c r="E38" i="2"/>
  <c r="D38" i="2"/>
  <c r="C38" i="2"/>
  <c r="B38" i="2"/>
  <c r="F37" i="2"/>
  <c r="E37" i="2"/>
  <c r="D37" i="2"/>
  <c r="C37" i="2"/>
  <c r="B37" i="2"/>
  <c r="F24" i="2"/>
  <c r="F36" i="2" s="1"/>
  <c r="E24" i="2"/>
  <c r="E36" i="2" s="1"/>
  <c r="D24" i="2"/>
  <c r="D36" i="2" s="1"/>
  <c r="C24" i="2"/>
  <c r="C36" i="2" s="1"/>
  <c r="B24" i="2"/>
  <c r="B36" i="2" s="1"/>
  <c r="B10" i="2"/>
  <c r="D10" i="2" s="1"/>
  <c r="B8" i="2"/>
  <c r="C52" i="1"/>
  <c r="B50" i="1"/>
  <c r="F20" i="1"/>
  <c r="B20" i="1"/>
  <c r="E15" i="1"/>
  <c r="E14" i="1"/>
  <c r="E13" i="1"/>
  <c r="E12" i="1"/>
  <c r="E11" i="1"/>
  <c r="B7" i="1"/>
  <c r="B6" i="1"/>
  <c r="W68" i="4" l="1"/>
  <c r="B68" i="4"/>
  <c r="B32" i="7" s="1"/>
  <c r="E99" i="2"/>
  <c r="E98" i="2"/>
  <c r="I36" i="2"/>
  <c r="B65" i="2"/>
  <c r="B72" i="2" s="1"/>
  <c r="D62" i="4"/>
  <c r="W62" i="4"/>
  <c r="W63" i="4" s="1"/>
  <c r="W66" i="4" s="1"/>
  <c r="B62" i="4"/>
  <c r="E100" i="2"/>
  <c r="D68" i="4"/>
  <c r="D32" i="7" s="1"/>
  <c r="I71" i="2"/>
  <c r="W69" i="4"/>
  <c r="W154" i="4" s="1"/>
  <c r="W155" i="4" s="1"/>
  <c r="W70" i="4"/>
  <c r="W85" i="4"/>
  <c r="W109" i="4"/>
  <c r="W133" i="4"/>
  <c r="W60" i="4"/>
  <c r="W61" i="4" s="1"/>
  <c r="W81" i="4" s="1"/>
  <c r="W64" i="4"/>
  <c r="W93" i="4"/>
  <c r="W117" i="4"/>
  <c r="W141" i="4"/>
  <c r="W189" i="4"/>
  <c r="W165" i="4"/>
  <c r="W75" i="4"/>
  <c r="W99" i="4"/>
  <c r="W123" i="4"/>
  <c r="W171" i="4"/>
  <c r="W147" i="4"/>
  <c r="W50" i="4"/>
  <c r="W45" i="4"/>
  <c r="W44" i="4"/>
  <c r="W157" i="4"/>
  <c r="W181" i="4"/>
  <c r="W199" i="4"/>
  <c r="C65" i="2"/>
  <c r="E97" i="2"/>
  <c r="E101" i="2"/>
  <c r="B50" i="4"/>
  <c r="B48" i="3"/>
  <c r="E62" i="3" s="1"/>
  <c r="B52" i="3"/>
  <c r="D50" i="4"/>
  <c r="F45" i="7"/>
  <c r="E45" i="7"/>
  <c r="D45" i="7"/>
  <c r="C45" i="7"/>
  <c r="T42" i="4"/>
  <c r="U42" i="4"/>
  <c r="V42" i="4"/>
  <c r="H42" i="4"/>
  <c r="I42" i="4"/>
  <c r="J42" i="4"/>
  <c r="K42" i="4"/>
  <c r="L42" i="4"/>
  <c r="M42" i="4"/>
  <c r="N42" i="4"/>
  <c r="O42" i="4"/>
  <c r="P42" i="4"/>
  <c r="Q42" i="4"/>
  <c r="R42" i="4"/>
  <c r="S42" i="4"/>
  <c r="S40" i="4"/>
  <c r="R40" i="4"/>
  <c r="Q40" i="4"/>
  <c r="P40" i="4"/>
  <c r="O40" i="4"/>
  <c r="N40" i="4"/>
  <c r="M40" i="4"/>
  <c r="L40" i="4"/>
  <c r="K40" i="4"/>
  <c r="J40" i="4"/>
  <c r="I40" i="4"/>
  <c r="H40" i="4"/>
  <c r="U40" i="4"/>
  <c r="V40" i="4"/>
  <c r="T40" i="4"/>
  <c r="S39" i="4"/>
  <c r="R39" i="4"/>
  <c r="O39" i="4"/>
  <c r="H39" i="4"/>
  <c r="I39" i="4"/>
  <c r="J39" i="4"/>
  <c r="K39" i="4"/>
  <c r="Q39" i="4"/>
  <c r="M39" i="4"/>
  <c r="N39" i="4"/>
  <c r="P39" i="4"/>
  <c r="L39" i="4"/>
  <c r="V39" i="4"/>
  <c r="U39" i="4"/>
  <c r="T39" i="4"/>
  <c r="O38" i="4"/>
  <c r="M38" i="4"/>
  <c r="T38" i="4"/>
  <c r="L38" i="4"/>
  <c r="K38" i="4"/>
  <c r="J38" i="4"/>
  <c r="H38" i="4"/>
  <c r="Q38" i="4"/>
  <c r="I38" i="4"/>
  <c r="S38" i="4"/>
  <c r="R38" i="4"/>
  <c r="U38" i="4"/>
  <c r="P38" i="4"/>
  <c r="N38" i="4"/>
  <c r="V38" i="4"/>
  <c r="V37" i="4"/>
  <c r="U37" i="4"/>
  <c r="M37" i="4"/>
  <c r="S37" i="4"/>
  <c r="J37" i="4"/>
  <c r="K37" i="4"/>
  <c r="I37" i="4"/>
  <c r="R37" i="4"/>
  <c r="T37" i="4"/>
  <c r="H37" i="4"/>
  <c r="N37" i="4"/>
  <c r="Q37" i="4"/>
  <c r="L37" i="4"/>
  <c r="P37" i="4"/>
  <c r="O37" i="4"/>
  <c r="V36" i="4"/>
  <c r="K36" i="4"/>
  <c r="L36" i="4"/>
  <c r="J36" i="4"/>
  <c r="M36" i="4"/>
  <c r="N36" i="4"/>
  <c r="O36" i="4"/>
  <c r="P36" i="4"/>
  <c r="S36" i="4"/>
  <c r="T36" i="4"/>
  <c r="Q36" i="4"/>
  <c r="H36" i="4"/>
  <c r="R36" i="4"/>
  <c r="U36" i="4"/>
  <c r="I36" i="4"/>
  <c r="M35" i="4"/>
  <c r="O35" i="4"/>
  <c r="P35" i="4"/>
  <c r="H35" i="4"/>
  <c r="I35" i="4"/>
  <c r="N35" i="4"/>
  <c r="Q35" i="4"/>
  <c r="R35" i="4"/>
  <c r="S35" i="4"/>
  <c r="T35" i="4"/>
  <c r="U35" i="4"/>
  <c r="V35" i="4"/>
  <c r="J35" i="4"/>
  <c r="K35" i="4"/>
  <c r="L35" i="4"/>
  <c r="U34" i="4"/>
  <c r="M34" i="4"/>
  <c r="L34" i="4"/>
  <c r="J34" i="4"/>
  <c r="K34" i="4"/>
  <c r="I34" i="4"/>
  <c r="N34" i="4"/>
  <c r="O34" i="4"/>
  <c r="P34" i="4"/>
  <c r="Q34" i="4"/>
  <c r="R34" i="4"/>
  <c r="S34" i="4"/>
  <c r="T34" i="4"/>
  <c r="V34" i="4"/>
  <c r="H34" i="4"/>
  <c r="U33" i="4"/>
  <c r="L33" i="4"/>
  <c r="K33" i="4"/>
  <c r="J33" i="4"/>
  <c r="I33" i="4"/>
  <c r="S33" i="4"/>
  <c r="H33" i="4"/>
  <c r="R33" i="4"/>
  <c r="T33" i="4"/>
  <c r="Q33" i="4"/>
  <c r="P33" i="4"/>
  <c r="O33" i="4"/>
  <c r="M33" i="4"/>
  <c r="N32" i="4"/>
  <c r="P32" i="4"/>
  <c r="Q32" i="4"/>
  <c r="R32" i="4"/>
  <c r="T32" i="4"/>
  <c r="U32" i="4"/>
  <c r="V32" i="4"/>
  <c r="S32" i="4"/>
  <c r="O32" i="4"/>
  <c r="H32" i="4"/>
  <c r="I32" i="4"/>
  <c r="J32" i="4"/>
  <c r="K32" i="4"/>
  <c r="L32" i="4"/>
  <c r="D44" i="4"/>
  <c r="D45" i="4"/>
  <c r="M31" i="4"/>
  <c r="O31" i="4"/>
  <c r="P31" i="4"/>
  <c r="Q31" i="4"/>
  <c r="L31" i="4"/>
  <c r="N31" i="4"/>
  <c r="R31" i="4"/>
  <c r="S31" i="4"/>
  <c r="V31" i="4"/>
  <c r="T31" i="4"/>
  <c r="U31" i="4"/>
  <c r="C44" i="4"/>
  <c r="C45" i="4"/>
  <c r="H31" i="4"/>
  <c r="I31" i="4"/>
  <c r="J31" i="4"/>
  <c r="K31" i="4"/>
  <c r="B44" i="4"/>
  <c r="B45" i="4"/>
  <c r="S30" i="4"/>
  <c r="R30" i="4"/>
  <c r="P30" i="4"/>
  <c r="V30" i="4"/>
  <c r="O30" i="4"/>
  <c r="N30" i="4"/>
  <c r="Q30" i="4"/>
  <c r="M30" i="4"/>
  <c r="L30" i="4"/>
  <c r="K30" i="4"/>
  <c r="I30" i="4"/>
  <c r="J30" i="4"/>
  <c r="U30" i="4"/>
  <c r="T30" i="4"/>
  <c r="H30" i="4"/>
  <c r="L29" i="4"/>
  <c r="K29" i="4"/>
  <c r="I29" i="4"/>
  <c r="H29" i="4"/>
  <c r="V29" i="4"/>
  <c r="U29" i="4"/>
  <c r="T29" i="4"/>
  <c r="S29" i="4"/>
  <c r="R29" i="4"/>
  <c r="Q29" i="4"/>
  <c r="P29" i="4"/>
  <c r="O29" i="4"/>
  <c r="N29" i="4"/>
  <c r="M29" i="4"/>
  <c r="S28" i="4"/>
  <c r="L28" i="4"/>
  <c r="K28" i="4"/>
  <c r="V28" i="4"/>
  <c r="U28" i="4"/>
  <c r="T28" i="4"/>
  <c r="J28" i="4"/>
  <c r="R28" i="4"/>
  <c r="Q28" i="4"/>
  <c r="P28" i="4"/>
  <c r="O28" i="4"/>
  <c r="N28" i="4"/>
  <c r="M28" i="4"/>
  <c r="I28" i="4"/>
  <c r="I69" i="4" s="1"/>
  <c r="H28" i="4"/>
  <c r="D199" i="4"/>
  <c r="D133" i="4"/>
  <c r="D157" i="4"/>
  <c r="D109" i="4"/>
  <c r="D181" i="4"/>
  <c r="D69" i="4"/>
  <c r="D85" i="4"/>
  <c r="D70" i="4"/>
  <c r="D34" i="7" s="1"/>
  <c r="C199" i="4"/>
  <c r="C133" i="4"/>
  <c r="C157" i="4"/>
  <c r="T27" i="4"/>
  <c r="O27" i="4"/>
  <c r="N27" i="4"/>
  <c r="M27" i="4"/>
  <c r="C181" i="4"/>
  <c r="K27" i="4"/>
  <c r="J27" i="4"/>
  <c r="H27" i="4"/>
  <c r="V27" i="4"/>
  <c r="C85" i="4"/>
  <c r="L27" i="4"/>
  <c r="P27" i="4"/>
  <c r="R27" i="4"/>
  <c r="C70" i="4"/>
  <c r="C34" i="7" s="1"/>
  <c r="C69" i="4"/>
  <c r="Q27" i="4"/>
  <c r="C109" i="4"/>
  <c r="S27" i="4"/>
  <c r="U27" i="4"/>
  <c r="B157" i="4"/>
  <c r="B133" i="4"/>
  <c r="B208" i="4"/>
  <c r="B41" i="7" s="1"/>
  <c r="B207" i="4"/>
  <c r="B40" i="7" s="1"/>
  <c r="B199" i="4"/>
  <c r="B109" i="4"/>
  <c r="B85" i="4"/>
  <c r="B181" i="4"/>
  <c r="B69" i="4"/>
  <c r="B70" i="4"/>
  <c r="B34" i="7" s="1"/>
  <c r="V26" i="4"/>
  <c r="U26" i="4"/>
  <c r="C68" i="4"/>
  <c r="C32" i="7" s="1"/>
  <c r="L26" i="4"/>
  <c r="M26" i="4"/>
  <c r="N26" i="4"/>
  <c r="H26" i="4"/>
  <c r="I26" i="4"/>
  <c r="K26" i="4"/>
  <c r="P26" i="4"/>
  <c r="J26" i="4"/>
  <c r="O26" i="4"/>
  <c r="Q26" i="4"/>
  <c r="R26" i="4"/>
  <c r="S26" i="4"/>
  <c r="T26" i="4"/>
  <c r="P25" i="4"/>
  <c r="Q25" i="4"/>
  <c r="R25" i="4"/>
  <c r="S25" i="4"/>
  <c r="T25" i="4"/>
  <c r="U25" i="4"/>
  <c r="V25" i="4"/>
  <c r="K25" i="4"/>
  <c r="L25" i="4"/>
  <c r="M25" i="4"/>
  <c r="N25" i="4"/>
  <c r="O25" i="4"/>
  <c r="J25" i="4"/>
  <c r="I25" i="4"/>
  <c r="H25" i="4"/>
  <c r="S24" i="4"/>
  <c r="T24" i="4"/>
  <c r="L24" i="4"/>
  <c r="H24" i="4"/>
  <c r="R24" i="4"/>
  <c r="Q24" i="4"/>
  <c r="K24" i="4"/>
  <c r="P24" i="4"/>
  <c r="O24" i="4"/>
  <c r="I24" i="4"/>
  <c r="J24" i="4"/>
  <c r="N24" i="4"/>
  <c r="M24" i="4"/>
  <c r="V24" i="4"/>
  <c r="U24" i="4"/>
  <c r="Q23" i="4"/>
  <c r="P23" i="4"/>
  <c r="H23" i="4"/>
  <c r="I23" i="4"/>
  <c r="K23" i="4"/>
  <c r="O23" i="4"/>
  <c r="L23" i="4"/>
  <c r="M23" i="4"/>
  <c r="N23" i="4"/>
  <c r="J23" i="4"/>
  <c r="V23" i="4"/>
  <c r="U23" i="4"/>
  <c r="T23" i="4"/>
  <c r="S23" i="4"/>
  <c r="R23" i="4"/>
  <c r="C14" i="5"/>
  <c r="D14" i="5"/>
  <c r="F14" i="5"/>
  <c r="E14" i="5"/>
  <c r="B14" i="5"/>
  <c r="V22" i="4"/>
  <c r="U22" i="4"/>
  <c r="T22" i="4"/>
  <c r="S22" i="4"/>
  <c r="R22" i="4"/>
  <c r="Q22" i="4"/>
  <c r="P22" i="4"/>
  <c r="O22" i="4"/>
  <c r="N22" i="4"/>
  <c r="M22" i="4"/>
  <c r="K22" i="4"/>
  <c r="J22" i="4"/>
  <c r="I22" i="4"/>
  <c r="H22" i="4"/>
  <c r="A19" i="5"/>
  <c r="A18" i="5"/>
  <c r="A17" i="5"/>
  <c r="A16" i="5"/>
  <c r="A15" i="5"/>
  <c r="V21" i="4"/>
  <c r="U21" i="4"/>
  <c r="T21" i="4"/>
  <c r="S21" i="4"/>
  <c r="R21" i="4"/>
  <c r="Q21" i="4"/>
  <c r="P21" i="4"/>
  <c r="O21" i="4"/>
  <c r="N21" i="4"/>
  <c r="M21" i="4"/>
  <c r="L21" i="4"/>
  <c r="J21" i="4"/>
  <c r="I21" i="4"/>
  <c r="H21" i="4"/>
  <c r="I20" i="4"/>
  <c r="V20" i="4"/>
  <c r="U20" i="4"/>
  <c r="T20" i="4"/>
  <c r="S20" i="4"/>
  <c r="R20" i="4"/>
  <c r="Q20" i="4"/>
  <c r="P20" i="4"/>
  <c r="O20" i="4"/>
  <c r="N20" i="4"/>
  <c r="M20" i="4"/>
  <c r="L20" i="4"/>
  <c r="K20" i="4"/>
  <c r="J20" i="4"/>
  <c r="H20" i="4"/>
  <c r="K19" i="4"/>
  <c r="U19" i="4"/>
  <c r="V19" i="4"/>
  <c r="C62" i="4"/>
  <c r="H19" i="4"/>
  <c r="I19" i="4"/>
  <c r="J19" i="4"/>
  <c r="T19" i="4"/>
  <c r="L19" i="4"/>
  <c r="M19" i="4"/>
  <c r="N19" i="4"/>
  <c r="O19" i="4"/>
  <c r="P19" i="4"/>
  <c r="Q19" i="4"/>
  <c r="R19" i="4"/>
  <c r="S19" i="4"/>
  <c r="R18" i="4"/>
  <c r="S18" i="4"/>
  <c r="T18" i="4"/>
  <c r="U18" i="4"/>
  <c r="V18" i="4"/>
  <c r="M18" i="4"/>
  <c r="N18" i="4"/>
  <c r="O18" i="4"/>
  <c r="P18" i="4"/>
  <c r="Q18" i="4"/>
  <c r="H18" i="4"/>
  <c r="I18" i="4"/>
  <c r="J18" i="4"/>
  <c r="K18" i="4"/>
  <c r="L18" i="4"/>
  <c r="D64" i="4"/>
  <c r="D60" i="4"/>
  <c r="M17" i="4"/>
  <c r="L17" i="4"/>
  <c r="O17" i="4"/>
  <c r="N17" i="4"/>
  <c r="C64" i="4"/>
  <c r="P17" i="4"/>
  <c r="C60" i="4"/>
  <c r="Q17" i="4"/>
  <c r="R17" i="4"/>
  <c r="S17" i="4"/>
  <c r="T17" i="4"/>
  <c r="U17" i="4"/>
  <c r="V17" i="4"/>
  <c r="H17" i="4"/>
  <c r="I17" i="4"/>
  <c r="J17" i="4"/>
  <c r="K17" i="4"/>
  <c r="B64" i="4"/>
  <c r="B60" i="4"/>
  <c r="H16" i="4"/>
  <c r="I16" i="4"/>
  <c r="J16" i="4"/>
  <c r="K16" i="4"/>
  <c r="V16" i="4"/>
  <c r="M16" i="4"/>
  <c r="L16" i="4"/>
  <c r="N16" i="4"/>
  <c r="O16" i="4"/>
  <c r="P16" i="4"/>
  <c r="Q16" i="4"/>
  <c r="R16" i="4"/>
  <c r="S16" i="4"/>
  <c r="T16" i="4"/>
  <c r="U16" i="4"/>
  <c r="D141" i="4"/>
  <c r="D117" i="4"/>
  <c r="D93" i="4"/>
  <c r="D189" i="4"/>
  <c r="D165" i="4"/>
  <c r="V15" i="4"/>
  <c r="C189" i="4"/>
  <c r="T15" i="4"/>
  <c r="S15" i="4"/>
  <c r="R15" i="4"/>
  <c r="C165" i="4"/>
  <c r="Q15" i="4"/>
  <c r="P15" i="4"/>
  <c r="N15" i="4"/>
  <c r="M15" i="4"/>
  <c r="L15" i="4"/>
  <c r="K15" i="4"/>
  <c r="J15" i="4"/>
  <c r="I15" i="4"/>
  <c r="H15" i="4"/>
  <c r="U15" i="4"/>
  <c r="C93" i="4"/>
  <c r="C117" i="4"/>
  <c r="C141" i="4"/>
  <c r="B117" i="4"/>
  <c r="B93" i="4"/>
  <c r="B141" i="4"/>
  <c r="B189" i="4"/>
  <c r="B165" i="4"/>
  <c r="M14" i="4"/>
  <c r="N14" i="4"/>
  <c r="I14" i="4"/>
  <c r="O14" i="4"/>
  <c r="P14" i="4"/>
  <c r="Q14" i="4"/>
  <c r="R14" i="4"/>
  <c r="H14" i="4"/>
  <c r="L14" i="4"/>
  <c r="S14" i="4"/>
  <c r="T14" i="4"/>
  <c r="U14" i="4"/>
  <c r="V14" i="4"/>
  <c r="A24" i="5"/>
  <c r="A25" i="5"/>
  <c r="A26" i="5"/>
  <c r="A27" i="5"/>
  <c r="A28" i="5"/>
  <c r="K14" i="4"/>
  <c r="J14" i="4"/>
  <c r="M13" i="4"/>
  <c r="N13" i="4"/>
  <c r="T13" i="4"/>
  <c r="O13" i="4"/>
  <c r="S13" i="4"/>
  <c r="V13" i="4"/>
  <c r="K13" i="4"/>
  <c r="R13" i="4"/>
  <c r="I13" i="4"/>
  <c r="Q13" i="4"/>
  <c r="J13" i="4"/>
  <c r="L13" i="4"/>
  <c r="H13" i="4"/>
  <c r="U13" i="4"/>
  <c r="P13" i="4"/>
  <c r="L12" i="4"/>
  <c r="O12" i="4"/>
  <c r="I12" i="4"/>
  <c r="V12" i="4"/>
  <c r="M12" i="4"/>
  <c r="Q12" i="4"/>
  <c r="N12" i="4"/>
  <c r="H12" i="4"/>
  <c r="R12" i="4"/>
  <c r="K12" i="4"/>
  <c r="U12" i="4"/>
  <c r="P12" i="4"/>
  <c r="J12" i="4"/>
  <c r="L11" i="4"/>
  <c r="R11" i="4"/>
  <c r="J11" i="4"/>
  <c r="H11" i="4"/>
  <c r="O11" i="4"/>
  <c r="N11" i="4"/>
  <c r="K11" i="4"/>
  <c r="M11" i="4"/>
  <c r="Q11" i="4"/>
  <c r="V11" i="4"/>
  <c r="S11" i="4"/>
  <c r="I11" i="4"/>
  <c r="U11" i="4"/>
  <c r="T11" i="4"/>
  <c r="P11" i="4"/>
  <c r="P10" i="4"/>
  <c r="I10" i="4"/>
  <c r="Q10" i="4"/>
  <c r="N10" i="4"/>
  <c r="S10" i="4"/>
  <c r="V10" i="4"/>
  <c r="J10" i="4"/>
  <c r="O10" i="4"/>
  <c r="R10" i="4"/>
  <c r="U10" i="4"/>
  <c r="H10" i="4"/>
  <c r="T10" i="4"/>
  <c r="L10" i="4"/>
  <c r="M10" i="4"/>
  <c r="K10" i="4"/>
  <c r="O9" i="4"/>
  <c r="J9" i="4"/>
  <c r="F5" i="5"/>
  <c r="E5" i="5"/>
  <c r="D5" i="5"/>
  <c r="C5" i="5"/>
  <c r="P9" i="4"/>
  <c r="C50" i="4"/>
  <c r="H9" i="4"/>
  <c r="I9" i="4"/>
  <c r="B5" i="5"/>
  <c r="T9" i="4"/>
  <c r="S9" i="4"/>
  <c r="V9" i="4"/>
  <c r="N9" i="4"/>
  <c r="U9" i="4"/>
  <c r="K9" i="4"/>
  <c r="M9" i="4"/>
  <c r="Q9" i="4"/>
  <c r="L9" i="4"/>
  <c r="Q8" i="4"/>
  <c r="V8" i="4"/>
  <c r="L8" i="4"/>
  <c r="R8" i="4"/>
  <c r="M8" i="4"/>
  <c r="H8" i="4"/>
  <c r="I8" i="4"/>
  <c r="N8" i="4"/>
  <c r="P8" i="4"/>
  <c r="K8" i="4"/>
  <c r="J8" i="4"/>
  <c r="O8" i="4"/>
  <c r="T8" i="4"/>
  <c r="S8" i="4"/>
  <c r="J7" i="4"/>
  <c r="M7" i="4"/>
  <c r="R7" i="4"/>
  <c r="Q7" i="4"/>
  <c r="T7" i="4"/>
  <c r="V7" i="4"/>
  <c r="U7" i="4"/>
  <c r="K7" i="4"/>
  <c r="N7" i="4"/>
  <c r="O7" i="4"/>
  <c r="I7" i="4"/>
  <c r="L7" i="4"/>
  <c r="S7" i="4"/>
  <c r="P7" i="4"/>
  <c r="H7" i="4"/>
  <c r="D123" i="4"/>
  <c r="D147" i="4"/>
  <c r="D171" i="4"/>
  <c r="D75" i="4"/>
  <c r="D99" i="4"/>
  <c r="N6" i="4"/>
  <c r="M6" i="4"/>
  <c r="J6" i="4"/>
  <c r="T6" i="4"/>
  <c r="C171" i="4"/>
  <c r="C123" i="4"/>
  <c r="R6" i="4"/>
  <c r="C99" i="4"/>
  <c r="A10" i="5"/>
  <c r="A9" i="5"/>
  <c r="A8" i="5"/>
  <c r="A7" i="5"/>
  <c r="U6" i="4"/>
  <c r="S6" i="4"/>
  <c r="A6" i="5"/>
  <c r="V6" i="4"/>
  <c r="H6" i="4"/>
  <c r="O6" i="4"/>
  <c r="L6" i="4"/>
  <c r="I6" i="4"/>
  <c r="C147" i="4"/>
  <c r="K6" i="4"/>
  <c r="C75" i="4"/>
  <c r="B147" i="4"/>
  <c r="B75" i="4"/>
  <c r="B171" i="4"/>
  <c r="B123" i="4"/>
  <c r="B99" i="4"/>
  <c r="D43" i="4"/>
  <c r="B43" i="4"/>
  <c r="C43" i="4"/>
  <c r="W43" i="4" s="1"/>
  <c r="E59" i="3"/>
  <c r="F85" i="2"/>
  <c r="F88" i="2"/>
  <c r="E88" i="2"/>
  <c r="E85" i="2"/>
  <c r="D88" i="2"/>
  <c r="D85" i="2"/>
  <c r="C88" i="2"/>
  <c r="C85" i="2"/>
  <c r="B85" i="2"/>
  <c r="B88" i="2"/>
  <c r="B32" i="3"/>
  <c r="H46" i="2"/>
  <c r="B35" i="3" s="1"/>
  <c r="B16" i="2"/>
  <c r="O141" i="4"/>
  <c r="B5" i="6"/>
  <c r="O117" i="4"/>
  <c r="O165" i="4"/>
  <c r="O189" i="4"/>
  <c r="O93" i="4"/>
  <c r="C73" i="2"/>
  <c r="E191" i="1"/>
  <c r="G191" i="1"/>
  <c r="F191" i="1"/>
  <c r="D191" i="1"/>
  <c r="B191" i="1"/>
  <c r="C191" i="1"/>
  <c r="H191" i="1"/>
  <c r="B40" i="3"/>
  <c r="E103" i="2" l="1"/>
  <c r="E68" i="3" s="1"/>
  <c r="D63" i="4"/>
  <c r="D28" i="7"/>
  <c r="B63" i="4"/>
  <c r="B28" i="7"/>
  <c r="K209" i="4"/>
  <c r="K210" i="4" s="1"/>
  <c r="L209" i="4"/>
  <c r="L210" i="4" s="1"/>
  <c r="M209" i="4"/>
  <c r="M210" i="4" s="1"/>
  <c r="N209" i="4"/>
  <c r="N210" i="4" s="1"/>
  <c r="O209" i="4"/>
  <c r="O210" i="4" s="1"/>
  <c r="P209" i="4"/>
  <c r="P210" i="4" s="1"/>
  <c r="Q209" i="4"/>
  <c r="Q210" i="4" s="1"/>
  <c r="R209" i="4"/>
  <c r="R210" i="4" s="1"/>
  <c r="S209" i="4"/>
  <c r="S210" i="4" s="1"/>
  <c r="T209" i="4"/>
  <c r="T210" i="4" s="1"/>
  <c r="U209" i="4"/>
  <c r="U210" i="4" s="1"/>
  <c r="V209" i="4"/>
  <c r="V210" i="4" s="1"/>
  <c r="Q91" i="4"/>
  <c r="R91" i="4"/>
  <c r="S91" i="4"/>
  <c r="T91" i="4"/>
  <c r="U91" i="4"/>
  <c r="H91" i="4"/>
  <c r="I91" i="4"/>
  <c r="J91" i="4"/>
  <c r="K91" i="4"/>
  <c r="V91" i="4"/>
  <c r="M91" i="4"/>
  <c r="L91" i="4"/>
  <c r="N91" i="4"/>
  <c r="O91" i="4"/>
  <c r="P91" i="4"/>
  <c r="W130" i="4"/>
  <c r="W106" i="4"/>
  <c r="W178" i="4"/>
  <c r="W82" i="4"/>
  <c r="W142" i="4"/>
  <c r="W190" i="4"/>
  <c r="W94" i="4"/>
  <c r="W118" i="4"/>
  <c r="W166" i="4"/>
  <c r="W65" i="4"/>
  <c r="W198" i="4" s="1"/>
  <c r="B91" i="4"/>
  <c r="B209" i="4"/>
  <c r="B210" i="4" s="1"/>
  <c r="D209" i="4"/>
  <c r="D210" i="4" s="1"/>
  <c r="H209" i="4"/>
  <c r="H210" i="4" s="1"/>
  <c r="J209" i="4"/>
  <c r="J210" i="4" s="1"/>
  <c r="C91" i="4"/>
  <c r="D91" i="4"/>
  <c r="C72" i="2"/>
  <c r="C209" i="4"/>
  <c r="C210" i="4" s="1"/>
  <c r="B47" i="1" s="1"/>
  <c r="I209" i="4"/>
  <c r="I210" i="4" s="1"/>
  <c r="W209" i="4"/>
  <c r="W210" i="4" s="1"/>
  <c r="W91" i="4"/>
  <c r="E104" i="2"/>
  <c r="E105" i="2"/>
  <c r="B39" i="3"/>
  <c r="B45" i="3" s="1"/>
  <c r="C45" i="3" s="1"/>
  <c r="W41" i="4"/>
  <c r="W48" i="4" s="1"/>
  <c r="W71" i="4"/>
  <c r="W223" i="4"/>
  <c r="W224" i="4" s="1"/>
  <c r="W248" i="4" s="1"/>
  <c r="W169" i="4"/>
  <c r="W97" i="4"/>
  <c r="W121" i="4"/>
  <c r="W145" i="4"/>
  <c r="W193" i="4"/>
  <c r="W236" i="4"/>
  <c r="W160" i="4"/>
  <c r="W162" i="4" s="1"/>
  <c r="C223" i="4"/>
  <c r="C224" i="4" s="1"/>
  <c r="C236" i="4"/>
  <c r="D121" i="4"/>
  <c r="D193" i="4"/>
  <c r="D145" i="4"/>
  <c r="D97" i="4"/>
  <c r="D169" i="4"/>
  <c r="D53" i="3"/>
  <c r="D52" i="6" s="1"/>
  <c r="B53" i="3"/>
  <c r="C53" i="3"/>
  <c r="C52" i="6" s="1"/>
  <c r="C71" i="4"/>
  <c r="D223" i="4"/>
  <c r="D224" i="4" s="1"/>
  <c r="D236" i="4"/>
  <c r="D71" i="4"/>
  <c r="M44" i="4"/>
  <c r="M45" i="4"/>
  <c r="O44" i="4"/>
  <c r="O223" i="4" s="1"/>
  <c r="O224" i="4" s="1"/>
  <c r="O248" i="4" s="1"/>
  <c r="O45" i="4"/>
  <c r="P44" i="4"/>
  <c r="P45" i="4"/>
  <c r="Q44" i="4"/>
  <c r="Q45" i="4"/>
  <c r="L44" i="4"/>
  <c r="L45" i="4"/>
  <c r="N44" i="4"/>
  <c r="N45" i="4"/>
  <c r="R44" i="4"/>
  <c r="R45" i="4"/>
  <c r="S44" i="4"/>
  <c r="S45" i="4"/>
  <c r="V44" i="4"/>
  <c r="V45" i="4"/>
  <c r="T44" i="4"/>
  <c r="T45" i="4"/>
  <c r="U44" i="4"/>
  <c r="U45" i="4"/>
  <c r="B23" i="5"/>
  <c r="C23" i="5"/>
  <c r="D23" i="5"/>
  <c r="E23" i="5"/>
  <c r="F23" i="5"/>
  <c r="H44" i="4"/>
  <c r="H45" i="4"/>
  <c r="I44" i="4"/>
  <c r="I45" i="4"/>
  <c r="J44" i="4"/>
  <c r="J45" i="4"/>
  <c r="K44" i="4"/>
  <c r="K45" i="4"/>
  <c r="B223" i="4"/>
  <c r="B224" i="4" s="1"/>
  <c r="B236" i="4"/>
  <c r="B71" i="4"/>
  <c r="I85" i="4"/>
  <c r="I109" i="4"/>
  <c r="I181" i="4"/>
  <c r="I199" i="4"/>
  <c r="I133" i="4"/>
  <c r="I157" i="4"/>
  <c r="I82" i="4"/>
  <c r="I106" i="4"/>
  <c r="I107" i="4" s="1"/>
  <c r="I178" i="4"/>
  <c r="I179" i="4" s="1"/>
  <c r="I154" i="4"/>
  <c r="I155" i="4" s="1"/>
  <c r="I130" i="4"/>
  <c r="I131" i="4" s="1"/>
  <c r="D82" i="4"/>
  <c r="D88" i="4" s="1"/>
  <c r="D90" i="4" s="1"/>
  <c r="D106" i="4"/>
  <c r="D178" i="4"/>
  <c r="D130" i="4"/>
  <c r="D154" i="4"/>
  <c r="D33" i="7"/>
  <c r="T69" i="4"/>
  <c r="T70" i="4"/>
  <c r="T85" i="4"/>
  <c r="T109" i="4"/>
  <c r="T157" i="4"/>
  <c r="T181" i="4"/>
  <c r="T199" i="4"/>
  <c r="T133" i="4"/>
  <c r="O69" i="4"/>
  <c r="O70" i="4"/>
  <c r="O85" i="4"/>
  <c r="O109" i="4"/>
  <c r="O181" i="4"/>
  <c r="O199" i="4"/>
  <c r="O157" i="4"/>
  <c r="O133" i="4"/>
  <c r="N69" i="4"/>
  <c r="N70" i="4"/>
  <c r="N85" i="4"/>
  <c r="N109" i="4"/>
  <c r="N181" i="4"/>
  <c r="N133" i="4"/>
  <c r="N199" i="4"/>
  <c r="N157" i="4"/>
  <c r="M69" i="4"/>
  <c r="M70" i="4"/>
  <c r="M85" i="4"/>
  <c r="M109" i="4"/>
  <c r="M157" i="4"/>
  <c r="M181" i="4"/>
  <c r="M199" i="4"/>
  <c r="M133" i="4"/>
  <c r="K69" i="4"/>
  <c r="K70" i="4"/>
  <c r="K85" i="4"/>
  <c r="K109" i="4"/>
  <c r="K181" i="4"/>
  <c r="K199" i="4"/>
  <c r="K157" i="4"/>
  <c r="K133" i="4"/>
  <c r="J69" i="4"/>
  <c r="J70" i="4"/>
  <c r="J85" i="4"/>
  <c r="J109" i="4"/>
  <c r="J133" i="4"/>
  <c r="J157" i="4"/>
  <c r="J181" i="4"/>
  <c r="J199" i="4"/>
  <c r="H69" i="4"/>
  <c r="H70" i="4"/>
  <c r="H85" i="4"/>
  <c r="H109" i="4"/>
  <c r="H181" i="4"/>
  <c r="H199" i="4"/>
  <c r="H157" i="4"/>
  <c r="H133" i="4"/>
  <c r="V69" i="4"/>
  <c r="V70" i="4"/>
  <c r="V85" i="4"/>
  <c r="V109" i="4"/>
  <c r="V181" i="4"/>
  <c r="V199" i="4"/>
  <c r="V157" i="4"/>
  <c r="V133" i="4"/>
  <c r="L69" i="4"/>
  <c r="L70" i="4"/>
  <c r="L85" i="4"/>
  <c r="L109" i="4"/>
  <c r="L181" i="4"/>
  <c r="L157" i="4"/>
  <c r="L199" i="4"/>
  <c r="L133" i="4"/>
  <c r="P69" i="4"/>
  <c r="P70" i="4"/>
  <c r="P85" i="4"/>
  <c r="P109" i="4"/>
  <c r="P133" i="4"/>
  <c r="P181" i="4"/>
  <c r="P199" i="4"/>
  <c r="P157" i="4"/>
  <c r="R69" i="4"/>
  <c r="R70" i="4"/>
  <c r="R85" i="4"/>
  <c r="R109" i="4"/>
  <c r="R133" i="4"/>
  <c r="R181" i="4"/>
  <c r="R199" i="4"/>
  <c r="R157" i="4"/>
  <c r="C82" i="4"/>
  <c r="C106" i="4"/>
  <c r="C178" i="4"/>
  <c r="C130" i="4"/>
  <c r="C154" i="4"/>
  <c r="C33" i="7"/>
  <c r="Q69" i="4"/>
  <c r="Q70" i="4"/>
  <c r="Q85" i="4"/>
  <c r="Q109" i="4"/>
  <c r="Q157" i="4"/>
  <c r="Q181" i="4"/>
  <c r="Q199" i="4"/>
  <c r="Q133" i="4"/>
  <c r="S69" i="4"/>
  <c r="S70" i="4"/>
  <c r="S85" i="4"/>
  <c r="S109" i="4"/>
  <c r="S181" i="4"/>
  <c r="S199" i="4"/>
  <c r="S133" i="4"/>
  <c r="S157" i="4"/>
  <c r="U69" i="4"/>
  <c r="U70" i="4"/>
  <c r="U85" i="4"/>
  <c r="U109" i="4"/>
  <c r="U181" i="4"/>
  <c r="U199" i="4"/>
  <c r="U157" i="4"/>
  <c r="U133" i="4"/>
  <c r="B82" i="4"/>
  <c r="B88" i="4" s="1"/>
  <c r="B90" i="4" s="1"/>
  <c r="B106" i="4"/>
  <c r="B178" i="4"/>
  <c r="B130" i="4"/>
  <c r="B154" i="4"/>
  <c r="B33" i="7"/>
  <c r="C63" i="4"/>
  <c r="C28" i="7"/>
  <c r="D94" i="4"/>
  <c r="D118" i="4"/>
  <c r="D142" i="4"/>
  <c r="D190" i="4"/>
  <c r="D166" i="4"/>
  <c r="D61" i="4"/>
  <c r="D26" i="7"/>
  <c r="M60" i="4"/>
  <c r="M61" i="4" s="1"/>
  <c r="M81" i="4" s="1"/>
  <c r="M64" i="4"/>
  <c r="L60" i="4"/>
  <c r="L61" i="4" s="1"/>
  <c r="L81" i="4" s="1"/>
  <c r="L64" i="4"/>
  <c r="O60" i="4"/>
  <c r="O61" i="4" s="1"/>
  <c r="O81" i="4" s="1"/>
  <c r="O64" i="4"/>
  <c r="N60" i="4"/>
  <c r="N61" i="4" s="1"/>
  <c r="N81" i="4" s="1"/>
  <c r="N64" i="4"/>
  <c r="C94" i="4"/>
  <c r="C118" i="4"/>
  <c r="C142" i="4"/>
  <c r="C190" i="4"/>
  <c r="C166" i="4"/>
  <c r="P60" i="4"/>
  <c r="P61" i="4" s="1"/>
  <c r="P81" i="4" s="1"/>
  <c r="P64" i="4"/>
  <c r="C61" i="4"/>
  <c r="C26" i="7"/>
  <c r="Q60" i="4"/>
  <c r="Q61" i="4" s="1"/>
  <c r="Q81" i="4" s="1"/>
  <c r="Q64" i="4"/>
  <c r="R60" i="4"/>
  <c r="R61" i="4" s="1"/>
  <c r="R81" i="4" s="1"/>
  <c r="R64" i="4"/>
  <c r="S60" i="4"/>
  <c r="S61" i="4" s="1"/>
  <c r="S81" i="4" s="1"/>
  <c r="S64" i="4"/>
  <c r="T60" i="4"/>
  <c r="T61" i="4" s="1"/>
  <c r="T81" i="4" s="1"/>
  <c r="T64" i="4"/>
  <c r="U60" i="4"/>
  <c r="U61" i="4" s="1"/>
  <c r="U81" i="4" s="1"/>
  <c r="U64" i="4"/>
  <c r="V60" i="4"/>
  <c r="V61" i="4" s="1"/>
  <c r="V81" i="4" s="1"/>
  <c r="V64" i="4"/>
  <c r="H60" i="4"/>
  <c r="H61" i="4" s="1"/>
  <c r="H81" i="4" s="1"/>
  <c r="H64" i="4"/>
  <c r="I60" i="4"/>
  <c r="I61" i="4" s="1"/>
  <c r="I81" i="4" s="1"/>
  <c r="I64" i="4"/>
  <c r="J60" i="4"/>
  <c r="J61" i="4" s="1"/>
  <c r="J81" i="4" s="1"/>
  <c r="J64" i="4"/>
  <c r="K60" i="4"/>
  <c r="K61" i="4" s="1"/>
  <c r="K81" i="4" s="1"/>
  <c r="K64" i="4"/>
  <c r="B94" i="4"/>
  <c r="B118" i="4"/>
  <c r="B142" i="4"/>
  <c r="B166" i="4"/>
  <c r="B190" i="4"/>
  <c r="B61" i="4"/>
  <c r="B26" i="7"/>
  <c r="V93" i="4"/>
  <c r="V117" i="4"/>
  <c r="V141" i="4"/>
  <c r="V189" i="4"/>
  <c r="V165" i="4"/>
  <c r="C193" i="4"/>
  <c r="F58" i="1"/>
  <c r="T93" i="4"/>
  <c r="T117" i="4"/>
  <c r="T141" i="4"/>
  <c r="T165" i="4"/>
  <c r="T189" i="4"/>
  <c r="S93" i="4"/>
  <c r="S117" i="4"/>
  <c r="S141" i="4"/>
  <c r="S189" i="4"/>
  <c r="S165" i="4"/>
  <c r="R93" i="4"/>
  <c r="R117" i="4"/>
  <c r="R141" i="4"/>
  <c r="R189" i="4"/>
  <c r="R165" i="4"/>
  <c r="C169" i="4"/>
  <c r="E58" i="1"/>
  <c r="Q93" i="4"/>
  <c r="Q117" i="4"/>
  <c r="Q141" i="4"/>
  <c r="Q165" i="4"/>
  <c r="Q189" i="4"/>
  <c r="P93" i="4"/>
  <c r="P117" i="4"/>
  <c r="P141" i="4"/>
  <c r="P189" i="4"/>
  <c r="P165" i="4"/>
  <c r="N93" i="4"/>
  <c r="N117" i="4"/>
  <c r="N141" i="4"/>
  <c r="N189" i="4"/>
  <c r="N165" i="4"/>
  <c r="M93" i="4"/>
  <c r="M117" i="4"/>
  <c r="M141" i="4"/>
  <c r="M189" i="4"/>
  <c r="M165" i="4"/>
  <c r="L93" i="4"/>
  <c r="L117" i="4"/>
  <c r="L141" i="4"/>
  <c r="L165" i="4"/>
  <c r="L189" i="4"/>
  <c r="K93" i="4"/>
  <c r="K117" i="4"/>
  <c r="K141" i="4"/>
  <c r="K189" i="4"/>
  <c r="K165" i="4"/>
  <c r="J93" i="4"/>
  <c r="J117" i="4"/>
  <c r="J141" i="4"/>
  <c r="J165" i="4"/>
  <c r="J189" i="4"/>
  <c r="I93" i="4"/>
  <c r="I117" i="4"/>
  <c r="I141" i="4"/>
  <c r="I189" i="4"/>
  <c r="I165" i="4"/>
  <c r="H93" i="4"/>
  <c r="H117" i="4"/>
  <c r="H141" i="4"/>
  <c r="H189" i="4"/>
  <c r="H165" i="4"/>
  <c r="U93" i="4"/>
  <c r="U117" i="4"/>
  <c r="U141" i="4"/>
  <c r="U189" i="4"/>
  <c r="U165" i="4"/>
  <c r="C97" i="4"/>
  <c r="B58" i="1"/>
  <c r="C121" i="4"/>
  <c r="C58" i="1"/>
  <c r="D58" i="1"/>
  <c r="C145" i="4"/>
  <c r="N123" i="4"/>
  <c r="N147" i="4"/>
  <c r="N75" i="4"/>
  <c r="N99" i="4"/>
  <c r="N171" i="4"/>
  <c r="M75" i="4"/>
  <c r="M99" i="4"/>
  <c r="M147" i="4"/>
  <c r="M171" i="4"/>
  <c r="M123" i="4"/>
  <c r="J147" i="4"/>
  <c r="J75" i="4"/>
  <c r="J99" i="4"/>
  <c r="J171" i="4"/>
  <c r="J123" i="4"/>
  <c r="T75" i="4"/>
  <c r="T99" i="4"/>
  <c r="T147" i="4"/>
  <c r="T171" i="4"/>
  <c r="T123" i="4"/>
  <c r="R123" i="4"/>
  <c r="R75" i="4"/>
  <c r="R99" i="4"/>
  <c r="R171" i="4"/>
  <c r="R147" i="4"/>
  <c r="U123" i="4"/>
  <c r="U171" i="4"/>
  <c r="U147" i="4"/>
  <c r="U75" i="4"/>
  <c r="U99" i="4"/>
  <c r="S123" i="4"/>
  <c r="S147" i="4"/>
  <c r="S171" i="4"/>
  <c r="S75" i="4"/>
  <c r="S99" i="4"/>
  <c r="V75" i="4"/>
  <c r="V99" i="4"/>
  <c r="V171" i="4"/>
  <c r="V147" i="4"/>
  <c r="V123" i="4"/>
  <c r="H123" i="4"/>
  <c r="H147" i="4"/>
  <c r="H171" i="4"/>
  <c r="H75" i="4"/>
  <c r="H99" i="4"/>
  <c r="O75" i="4"/>
  <c r="O99" i="4"/>
  <c r="O123" i="4"/>
  <c r="O171" i="4"/>
  <c r="O147" i="4"/>
  <c r="L75" i="4"/>
  <c r="L99" i="4"/>
  <c r="L123" i="4"/>
  <c r="L171" i="4"/>
  <c r="L147" i="4"/>
  <c r="I171" i="4"/>
  <c r="I123" i="4"/>
  <c r="I147" i="4"/>
  <c r="I75" i="4"/>
  <c r="I99" i="4"/>
  <c r="K147" i="4"/>
  <c r="K75" i="4"/>
  <c r="K99" i="4"/>
  <c r="K123" i="4"/>
  <c r="K171" i="4"/>
  <c r="H43" i="4"/>
  <c r="I43" i="4"/>
  <c r="J43" i="4"/>
  <c r="K43" i="4"/>
  <c r="L43" i="4"/>
  <c r="M43" i="4"/>
  <c r="N43" i="4"/>
  <c r="O43" i="4"/>
  <c r="P43" i="4"/>
  <c r="Q43" i="4"/>
  <c r="R43" i="4"/>
  <c r="S43" i="4"/>
  <c r="T43" i="4"/>
  <c r="U43" i="4"/>
  <c r="V43" i="4"/>
  <c r="E42" i="3"/>
  <c r="E43" i="3"/>
  <c r="F89" i="2"/>
  <c r="D43" i="3"/>
  <c r="D42" i="3"/>
  <c r="C42" i="3"/>
  <c r="C43" i="3"/>
  <c r="P6" i="4"/>
  <c r="B42" i="3"/>
  <c r="B43" i="3"/>
  <c r="B36" i="3"/>
  <c r="Q6" i="4"/>
  <c r="B37" i="3"/>
  <c r="B6" i="6"/>
  <c r="B7" i="6"/>
  <c r="B10" i="6"/>
  <c r="B17" i="6"/>
  <c r="R9" i="4"/>
  <c r="E61" i="3"/>
  <c r="L68" i="4"/>
  <c r="K68" i="4"/>
  <c r="Q68" i="4"/>
  <c r="T68" i="4"/>
  <c r="U68" i="4"/>
  <c r="H68" i="4"/>
  <c r="O68" i="4"/>
  <c r="V68" i="4"/>
  <c r="M68" i="4"/>
  <c r="I68" i="4"/>
  <c r="P68" i="4"/>
  <c r="R68" i="4"/>
  <c r="S68" i="4"/>
  <c r="N68" i="4"/>
  <c r="J68" i="4"/>
  <c r="K62" i="4"/>
  <c r="K63" i="4" s="1"/>
  <c r="U62" i="4"/>
  <c r="U63" i="4" s="1"/>
  <c r="V62" i="4"/>
  <c r="V63" i="4" s="1"/>
  <c r="H62" i="4"/>
  <c r="H63" i="4" s="1"/>
  <c r="I62" i="4"/>
  <c r="I63" i="4" s="1"/>
  <c r="J62" i="4"/>
  <c r="J63" i="4" s="1"/>
  <c r="T62" i="4"/>
  <c r="T63" i="4" s="1"/>
  <c r="L62" i="4"/>
  <c r="L63" i="4" s="1"/>
  <c r="M62" i="4"/>
  <c r="M63" i="4" s="1"/>
  <c r="N62" i="4"/>
  <c r="N63" i="4" s="1"/>
  <c r="O62" i="4"/>
  <c r="O63" i="4" s="1"/>
  <c r="P62" i="4"/>
  <c r="P63" i="4" s="1"/>
  <c r="Q62" i="4"/>
  <c r="Q63" i="4" s="1"/>
  <c r="R62" i="4"/>
  <c r="R63" i="4" s="1"/>
  <c r="S62" i="4"/>
  <c r="S63" i="4" s="1"/>
  <c r="O50" i="4"/>
  <c r="H50" i="4"/>
  <c r="T50" i="4"/>
  <c r="V50" i="4"/>
  <c r="U50" i="4"/>
  <c r="M50" i="4"/>
  <c r="B121" i="4"/>
  <c r="B97" i="4"/>
  <c r="B145" i="4"/>
  <c r="B193" i="4"/>
  <c r="B169" i="4"/>
  <c r="J50" i="4"/>
  <c r="I50" i="4"/>
  <c r="S50" i="4"/>
  <c r="N50" i="4"/>
  <c r="K50" i="4"/>
  <c r="L50" i="4"/>
  <c r="W131" i="4" l="1"/>
  <c r="W136" i="4"/>
  <c r="W138" i="4" s="1"/>
  <c r="W107" i="4"/>
  <c r="W112" i="4"/>
  <c r="W114" i="4" s="1"/>
  <c r="W179" i="4"/>
  <c r="W184" i="4"/>
  <c r="W186" i="4" s="1"/>
  <c r="C206" i="4"/>
  <c r="C204" i="4"/>
  <c r="D65" i="4"/>
  <c r="D66" i="4"/>
  <c r="D29" i="7"/>
  <c r="B65" i="4"/>
  <c r="B66" i="4"/>
  <c r="B29" i="7"/>
  <c r="W88" i="4"/>
  <c r="W90" i="4" s="1"/>
  <c r="W83" i="4"/>
  <c r="B44" i="3"/>
  <c r="B41" i="4"/>
  <c r="B48" i="4" s="1"/>
  <c r="C41" i="4"/>
  <c r="D41" i="4"/>
  <c r="D48" i="4" s="1"/>
  <c r="W67" i="4"/>
  <c r="W84" i="4"/>
  <c r="W108" i="4"/>
  <c r="W132" i="4"/>
  <c r="W156" i="4"/>
  <c r="W180" i="4"/>
  <c r="W204" i="4"/>
  <c r="W206" i="4"/>
  <c r="W148" i="4"/>
  <c r="W149" i="4" s="1"/>
  <c r="W124" i="4"/>
  <c r="W125" i="4" s="1"/>
  <c r="W172" i="4"/>
  <c r="W173" i="4" s="1"/>
  <c r="W76" i="4"/>
  <c r="W77" i="4" s="1"/>
  <c r="W100" i="4"/>
  <c r="W101" i="4" s="1"/>
  <c r="W49" i="4"/>
  <c r="W51" i="4" s="1"/>
  <c r="H145" i="4"/>
  <c r="U169" i="4"/>
  <c r="U121" i="4"/>
  <c r="H193" i="4"/>
  <c r="U193" i="4"/>
  <c r="H97" i="4"/>
  <c r="H121" i="4"/>
  <c r="H169" i="4"/>
  <c r="U97" i="4"/>
  <c r="U145" i="4"/>
  <c r="W56" i="4"/>
  <c r="B50" i="3"/>
  <c r="B51" i="3" s="1"/>
  <c r="B56" i="4"/>
  <c r="C56" i="4"/>
  <c r="D56" i="4"/>
  <c r="H56" i="4"/>
  <c r="I56" i="4"/>
  <c r="J56" i="4"/>
  <c r="K56" i="4"/>
  <c r="L56" i="4"/>
  <c r="M56" i="4"/>
  <c r="N56" i="4"/>
  <c r="O56" i="4"/>
  <c r="P56" i="4"/>
  <c r="Q56" i="4"/>
  <c r="R56" i="4"/>
  <c r="S56" i="4"/>
  <c r="T56" i="4"/>
  <c r="U56" i="4"/>
  <c r="V56" i="4"/>
  <c r="B53" i="1"/>
  <c r="B52" i="6"/>
  <c r="K145" i="4"/>
  <c r="J145" i="4"/>
  <c r="I97" i="4"/>
  <c r="I169" i="4"/>
  <c r="T121" i="4"/>
  <c r="T169" i="4"/>
  <c r="K121" i="4"/>
  <c r="K169" i="4"/>
  <c r="J97" i="4"/>
  <c r="J169" i="4"/>
  <c r="I121" i="4"/>
  <c r="I193" i="4"/>
  <c r="T97" i="4"/>
  <c r="T145" i="4"/>
  <c r="T193" i="4"/>
  <c r="K97" i="4"/>
  <c r="K193" i="4"/>
  <c r="J121" i="4"/>
  <c r="J193" i="4"/>
  <c r="I145" i="4"/>
  <c r="P236" i="4"/>
  <c r="P223" i="4"/>
  <c r="P224" i="4" s="1"/>
  <c r="P248" i="4" s="1"/>
  <c r="T236" i="4"/>
  <c r="T223" i="4"/>
  <c r="T224" i="4" s="1"/>
  <c r="T248" i="4" s="1"/>
  <c r="U236" i="4"/>
  <c r="U223" i="4"/>
  <c r="U224" i="4" s="1"/>
  <c r="U248" i="4" s="1"/>
  <c r="H236" i="4"/>
  <c r="H223" i="4"/>
  <c r="H224" i="4" s="1"/>
  <c r="H248" i="4" s="1"/>
  <c r="I236" i="4"/>
  <c r="I223" i="4"/>
  <c r="I224" i="4" s="1"/>
  <c r="I248" i="4" s="1"/>
  <c r="J236" i="4"/>
  <c r="J223" i="4"/>
  <c r="J224" i="4" s="1"/>
  <c r="J248" i="4" s="1"/>
  <c r="K236" i="4"/>
  <c r="K223" i="4"/>
  <c r="K224" i="4" s="1"/>
  <c r="K248" i="4" s="1"/>
  <c r="I83" i="4"/>
  <c r="I71" i="4"/>
  <c r="I206" i="4"/>
  <c r="I204" i="4"/>
  <c r="D14" i="1"/>
  <c r="D248" i="4"/>
  <c r="M71" i="4"/>
  <c r="O121" i="4"/>
  <c r="O97" i="4"/>
  <c r="O169" i="4"/>
  <c r="O145" i="4"/>
  <c r="O193" i="4"/>
  <c r="O236" i="4"/>
  <c r="O71" i="4"/>
  <c r="P71" i="4"/>
  <c r="Q71" i="4"/>
  <c r="L71" i="4"/>
  <c r="N71" i="4"/>
  <c r="R71" i="4"/>
  <c r="S71" i="4"/>
  <c r="V71" i="4"/>
  <c r="T71" i="4"/>
  <c r="U71" i="4"/>
  <c r="H71" i="4"/>
  <c r="J71" i="4"/>
  <c r="K71" i="4"/>
  <c r="B14" i="1"/>
  <c r="B248" i="4"/>
  <c r="D112" i="4"/>
  <c r="D114" i="4" s="1"/>
  <c r="D107" i="4"/>
  <c r="D184" i="4"/>
  <c r="D186" i="4" s="1"/>
  <c r="D179" i="4"/>
  <c r="D136" i="4"/>
  <c r="D138" i="4" s="1"/>
  <c r="D131" i="4"/>
  <c r="D160" i="4"/>
  <c r="D162" i="4" s="1"/>
  <c r="D155" i="4"/>
  <c r="T82" i="4"/>
  <c r="T106" i="4"/>
  <c r="T130" i="4"/>
  <c r="T178" i="4"/>
  <c r="T154" i="4"/>
  <c r="O82" i="4"/>
  <c r="O106" i="4"/>
  <c r="O130" i="4"/>
  <c r="O154" i="4"/>
  <c r="O178" i="4"/>
  <c r="N82" i="4"/>
  <c r="N106" i="4"/>
  <c r="N178" i="4"/>
  <c r="N130" i="4"/>
  <c r="N154" i="4"/>
  <c r="M82" i="4"/>
  <c r="M106" i="4"/>
  <c r="M178" i="4"/>
  <c r="M130" i="4"/>
  <c r="M154" i="4"/>
  <c r="K82" i="4"/>
  <c r="K106" i="4"/>
  <c r="K178" i="4"/>
  <c r="K154" i="4"/>
  <c r="K130" i="4"/>
  <c r="J82" i="4"/>
  <c r="J106" i="4"/>
  <c r="J154" i="4"/>
  <c r="J178" i="4"/>
  <c r="J130" i="4"/>
  <c r="H82" i="4"/>
  <c r="H106" i="4"/>
  <c r="H130" i="4"/>
  <c r="H178" i="4"/>
  <c r="H154" i="4"/>
  <c r="V82" i="4"/>
  <c r="V106" i="4"/>
  <c r="V130" i="4"/>
  <c r="V178" i="4"/>
  <c r="V154" i="4"/>
  <c r="L82" i="4"/>
  <c r="L106" i="4"/>
  <c r="L178" i="4"/>
  <c r="L154" i="4"/>
  <c r="L130" i="4"/>
  <c r="P82" i="4"/>
  <c r="P106" i="4"/>
  <c r="P178" i="4"/>
  <c r="P154" i="4"/>
  <c r="P130" i="4"/>
  <c r="R82" i="4"/>
  <c r="R106" i="4"/>
  <c r="R178" i="4"/>
  <c r="R130" i="4"/>
  <c r="R154" i="4"/>
  <c r="C88" i="4"/>
  <c r="B46" i="7"/>
  <c r="C107" i="4"/>
  <c r="C57" i="1" s="1"/>
  <c r="C112" i="4"/>
  <c r="C46" i="7"/>
  <c r="C184" i="4"/>
  <c r="C179" i="4"/>
  <c r="F57" i="1" s="1"/>
  <c r="F46" i="7"/>
  <c r="C131" i="4"/>
  <c r="D57" i="1" s="1"/>
  <c r="C136" i="4"/>
  <c r="D46" i="7"/>
  <c r="C155" i="4"/>
  <c r="E57" i="1" s="1"/>
  <c r="C160" i="4"/>
  <c r="E46" i="7"/>
  <c r="Q82" i="4"/>
  <c r="Q106" i="4"/>
  <c r="Q178" i="4"/>
  <c r="Q130" i="4"/>
  <c r="Q154" i="4"/>
  <c r="S82" i="4"/>
  <c r="S106" i="4"/>
  <c r="S178" i="4"/>
  <c r="S130" i="4"/>
  <c r="S154" i="4"/>
  <c r="U82" i="4"/>
  <c r="U106" i="4"/>
  <c r="U154" i="4"/>
  <c r="U178" i="4"/>
  <c r="U130" i="4"/>
  <c r="B112" i="4"/>
  <c r="B114" i="4" s="1"/>
  <c r="B107" i="4"/>
  <c r="B184" i="4"/>
  <c r="B186" i="4" s="1"/>
  <c r="B179" i="4"/>
  <c r="B136" i="4"/>
  <c r="B138" i="4" s="1"/>
  <c r="B131" i="4"/>
  <c r="B160" i="4"/>
  <c r="B162" i="4" s="1"/>
  <c r="B155" i="4"/>
  <c r="C65" i="4"/>
  <c r="C66" i="4"/>
  <c r="C29" i="7"/>
  <c r="D81" i="4"/>
  <c r="D27" i="7"/>
  <c r="M94" i="4"/>
  <c r="M118" i="4"/>
  <c r="M142" i="4"/>
  <c r="M166" i="4"/>
  <c r="M190" i="4"/>
  <c r="L94" i="4"/>
  <c r="L118" i="4"/>
  <c r="L142" i="4"/>
  <c r="L190" i="4"/>
  <c r="L166" i="4"/>
  <c r="O94" i="4"/>
  <c r="O118" i="4"/>
  <c r="O142" i="4"/>
  <c r="O166" i="4"/>
  <c r="O190" i="4"/>
  <c r="N94" i="4"/>
  <c r="N118" i="4"/>
  <c r="N142" i="4"/>
  <c r="N190" i="4"/>
  <c r="N166" i="4"/>
  <c r="P94" i="4"/>
  <c r="P118" i="4"/>
  <c r="P142" i="4"/>
  <c r="P166" i="4"/>
  <c r="P190" i="4"/>
  <c r="C81" i="4"/>
  <c r="C27" i="7"/>
  <c r="Q94" i="4"/>
  <c r="Q118" i="4"/>
  <c r="Q142" i="4"/>
  <c r="Q190" i="4"/>
  <c r="Q166" i="4"/>
  <c r="R94" i="4"/>
  <c r="R118" i="4"/>
  <c r="R142" i="4"/>
  <c r="R190" i="4"/>
  <c r="R166" i="4"/>
  <c r="S94" i="4"/>
  <c r="S118" i="4"/>
  <c r="S142" i="4"/>
  <c r="S166" i="4"/>
  <c r="S190" i="4"/>
  <c r="T94" i="4"/>
  <c r="T118" i="4"/>
  <c r="T142" i="4"/>
  <c r="T190" i="4"/>
  <c r="T166" i="4"/>
  <c r="U94" i="4"/>
  <c r="U118" i="4"/>
  <c r="U142" i="4"/>
  <c r="U166" i="4"/>
  <c r="U190" i="4"/>
  <c r="V94" i="4"/>
  <c r="V118" i="4"/>
  <c r="V142" i="4"/>
  <c r="V166" i="4"/>
  <c r="V190" i="4"/>
  <c r="H94" i="4"/>
  <c r="H118" i="4"/>
  <c r="H142" i="4"/>
  <c r="H190" i="4"/>
  <c r="H166" i="4"/>
  <c r="I94" i="4"/>
  <c r="I118" i="4"/>
  <c r="I142" i="4"/>
  <c r="I190" i="4"/>
  <c r="I166" i="4"/>
  <c r="J94" i="4"/>
  <c r="J118" i="4"/>
  <c r="J142" i="4"/>
  <c r="J166" i="4"/>
  <c r="J190" i="4"/>
  <c r="K94" i="4"/>
  <c r="K118" i="4"/>
  <c r="K142" i="4"/>
  <c r="K190" i="4"/>
  <c r="K166" i="4"/>
  <c r="B81" i="4"/>
  <c r="B27" i="7"/>
  <c r="E60" i="3"/>
  <c r="U8" i="4"/>
  <c r="B46" i="5" s="1"/>
  <c r="P50" i="4"/>
  <c r="P171" i="4"/>
  <c r="P147" i="4"/>
  <c r="B41" i="5"/>
  <c r="P123" i="4"/>
  <c r="P75" i="4"/>
  <c r="P99" i="4"/>
  <c r="Q50" i="4"/>
  <c r="Q147" i="4"/>
  <c r="B42" i="5"/>
  <c r="Q75" i="4"/>
  <c r="Q99" i="4"/>
  <c r="Q171" i="4"/>
  <c r="Q123" i="4"/>
  <c r="B8" i="6"/>
  <c r="B11" i="6"/>
  <c r="B18" i="6"/>
  <c r="B26" i="6"/>
  <c r="C26" i="6" s="1"/>
  <c r="B43" i="5"/>
  <c r="R50" i="4"/>
  <c r="K66" i="4"/>
  <c r="K65" i="4"/>
  <c r="U66" i="4"/>
  <c r="U65" i="4"/>
  <c r="V66" i="4"/>
  <c r="V65" i="4"/>
  <c r="H66" i="4"/>
  <c r="H65" i="4"/>
  <c r="I66" i="4"/>
  <c r="I65" i="4"/>
  <c r="J66" i="4"/>
  <c r="J65" i="4"/>
  <c r="T66" i="4"/>
  <c r="T65" i="4"/>
  <c r="L66" i="4"/>
  <c r="L65" i="4"/>
  <c r="M66" i="4"/>
  <c r="M65" i="4"/>
  <c r="N66" i="4"/>
  <c r="N65" i="4"/>
  <c r="O66" i="4"/>
  <c r="O65" i="4"/>
  <c r="P66" i="4"/>
  <c r="P65" i="4"/>
  <c r="Q66" i="4"/>
  <c r="Q65" i="4"/>
  <c r="R66" i="4"/>
  <c r="R65" i="4"/>
  <c r="S66" i="4"/>
  <c r="S65" i="4"/>
  <c r="C14" i="1"/>
  <c r="E190" i="1" s="1"/>
  <c r="C248" i="4"/>
  <c r="I88" i="4"/>
  <c r="I90" i="4" s="1"/>
  <c r="I112" i="4"/>
  <c r="I114" i="4" s="1"/>
  <c r="I184" i="4"/>
  <c r="I186" i="4" s="1"/>
  <c r="I136" i="4"/>
  <c r="I138" i="4" s="1"/>
  <c r="I160" i="4"/>
  <c r="I162" i="4" s="1"/>
  <c r="V97" i="4"/>
  <c r="V121" i="4"/>
  <c r="V145" i="4"/>
  <c r="V193" i="4"/>
  <c r="V169" i="4"/>
  <c r="S97" i="4"/>
  <c r="S121" i="4"/>
  <c r="S145" i="4"/>
  <c r="S193" i="4"/>
  <c r="S169" i="4"/>
  <c r="R97" i="4"/>
  <c r="R121" i="4"/>
  <c r="R145" i="4"/>
  <c r="R193" i="4"/>
  <c r="R169" i="4"/>
  <c r="Q97" i="4"/>
  <c r="Q121" i="4"/>
  <c r="Q145" i="4"/>
  <c r="Q169" i="4"/>
  <c r="Q193" i="4"/>
  <c r="P97" i="4"/>
  <c r="P121" i="4"/>
  <c r="P145" i="4"/>
  <c r="P193" i="4"/>
  <c r="P169" i="4"/>
  <c r="N97" i="4"/>
  <c r="N121" i="4"/>
  <c r="N145" i="4"/>
  <c r="N193" i="4"/>
  <c r="N169" i="4"/>
  <c r="M97" i="4"/>
  <c r="M121" i="4"/>
  <c r="M145" i="4"/>
  <c r="M193" i="4"/>
  <c r="M169" i="4"/>
  <c r="L97" i="4"/>
  <c r="L121" i="4"/>
  <c r="L145" i="4"/>
  <c r="L169" i="4"/>
  <c r="L193" i="4"/>
  <c r="D206" i="4"/>
  <c r="D204" i="4"/>
  <c r="M236" i="4"/>
  <c r="M223" i="4"/>
  <c r="M224" i="4" s="1"/>
  <c r="M248" i="4" s="1"/>
  <c r="Q236" i="4"/>
  <c r="Q223" i="4"/>
  <c r="Q224" i="4" s="1"/>
  <c r="Q248" i="4" s="1"/>
  <c r="L236" i="4"/>
  <c r="L223" i="4"/>
  <c r="L224" i="4" s="1"/>
  <c r="L248" i="4" s="1"/>
  <c r="N236" i="4"/>
  <c r="N223" i="4"/>
  <c r="N224" i="4" s="1"/>
  <c r="N248" i="4" s="1"/>
  <c r="R236" i="4"/>
  <c r="R223" i="4"/>
  <c r="R224" i="4" s="1"/>
  <c r="R248" i="4" s="1"/>
  <c r="S236" i="4"/>
  <c r="S223" i="4"/>
  <c r="S224" i="4" s="1"/>
  <c r="S248" i="4" s="1"/>
  <c r="V236" i="4"/>
  <c r="V223" i="4"/>
  <c r="V224" i="4" s="1"/>
  <c r="V248" i="4" s="1"/>
  <c r="B24" i="5"/>
  <c r="B25" i="5"/>
  <c r="B27" i="5"/>
  <c r="B28" i="5"/>
  <c r="B26" i="5"/>
  <c r="C24" i="5"/>
  <c r="C25" i="5"/>
  <c r="C27" i="5"/>
  <c r="C28" i="5"/>
  <c r="C26" i="5"/>
  <c r="D24" i="5"/>
  <c r="D27" i="5"/>
  <c r="D28" i="5"/>
  <c r="D26" i="5"/>
  <c r="D25" i="5"/>
  <c r="E24" i="5"/>
  <c r="E27" i="5"/>
  <c r="E28" i="5"/>
  <c r="E26" i="5"/>
  <c r="E25" i="5"/>
  <c r="F26" i="5"/>
  <c r="F24" i="5"/>
  <c r="F27" i="5"/>
  <c r="F28" i="5"/>
  <c r="F25" i="5"/>
  <c r="B206" i="4"/>
  <c r="B204" i="4"/>
  <c r="W201" i="4" l="1"/>
  <c r="W207" i="4" s="1"/>
  <c r="W208" i="4" s="1"/>
  <c r="W87" i="4"/>
  <c r="W89" i="4" s="1"/>
  <c r="W86" i="4"/>
  <c r="W92" i="4" s="1"/>
  <c r="D67" i="4"/>
  <c r="D31" i="7" s="1"/>
  <c r="D84" i="4"/>
  <c r="D108" i="4"/>
  <c r="D110" i="4" s="1"/>
  <c r="D180" i="4"/>
  <c r="D156" i="4"/>
  <c r="D132" i="4"/>
  <c r="D30" i="7"/>
  <c r="D111" i="4"/>
  <c r="D113" i="4" s="1"/>
  <c r="D198" i="4"/>
  <c r="B67" i="4"/>
  <c r="B31" i="7" s="1"/>
  <c r="B84" i="4"/>
  <c r="B108" i="4"/>
  <c r="B180" i="4"/>
  <c r="B156" i="4"/>
  <c r="B158" i="4" s="1"/>
  <c r="B132" i="4"/>
  <c r="B30" i="7"/>
  <c r="B198" i="4"/>
  <c r="B159" i="4"/>
  <c r="B161" i="4" s="1"/>
  <c r="W110" i="4"/>
  <c r="W111" i="4"/>
  <c r="W113" i="4" s="1"/>
  <c r="W134" i="4"/>
  <c r="W135" i="4"/>
  <c r="W137" i="4" s="1"/>
  <c r="W158" i="4"/>
  <c r="W159" i="4"/>
  <c r="W161" i="4" s="1"/>
  <c r="B100" i="4"/>
  <c r="B101" i="4" s="1"/>
  <c r="B148" i="4"/>
  <c r="B149" i="4" s="1"/>
  <c r="B49" i="4"/>
  <c r="B51" i="4" s="1"/>
  <c r="B76" i="4"/>
  <c r="B77" i="4" s="1"/>
  <c r="B172" i="4"/>
  <c r="B173" i="4" s="1"/>
  <c r="B227" i="4" s="1"/>
  <c r="B124" i="4"/>
  <c r="B125" i="4" s="1"/>
  <c r="H41" i="4"/>
  <c r="H48" i="4" s="1"/>
  <c r="I41" i="4"/>
  <c r="I48" i="4" s="1"/>
  <c r="J41" i="4"/>
  <c r="J48" i="4" s="1"/>
  <c r="K41" i="4"/>
  <c r="K48" i="4" s="1"/>
  <c r="L41" i="4"/>
  <c r="L48" i="4" s="1"/>
  <c r="M41" i="4"/>
  <c r="M48" i="4" s="1"/>
  <c r="N41" i="4"/>
  <c r="N48" i="4" s="1"/>
  <c r="O41" i="4"/>
  <c r="O48" i="4" s="1"/>
  <c r="P41" i="4"/>
  <c r="P48" i="4" s="1"/>
  <c r="Q41" i="4"/>
  <c r="Q48" i="4" s="1"/>
  <c r="R41" i="4"/>
  <c r="R48" i="4" s="1"/>
  <c r="S41" i="4"/>
  <c r="S48" i="4" s="1"/>
  <c r="T41" i="4"/>
  <c r="T48" i="4" s="1"/>
  <c r="U41" i="4"/>
  <c r="U48" i="4" s="1"/>
  <c r="V41" i="4"/>
  <c r="V48" i="4" s="1"/>
  <c r="C48" i="4"/>
  <c r="D100" i="4"/>
  <c r="D101" i="4" s="1"/>
  <c r="D148" i="4"/>
  <c r="D149" i="4" s="1"/>
  <c r="D49" i="4"/>
  <c r="D51" i="4" s="1"/>
  <c r="D172" i="4"/>
  <c r="D173" i="4" s="1"/>
  <c r="D76" i="4"/>
  <c r="D77" i="4" s="1"/>
  <c r="D124" i="4"/>
  <c r="D125" i="4" s="1"/>
  <c r="W183" i="4"/>
  <c r="W185" i="4" s="1"/>
  <c r="W182" i="4"/>
  <c r="W227" i="4"/>
  <c r="W52" i="4"/>
  <c r="W55" i="4"/>
  <c r="W218" i="4" s="1"/>
  <c r="W150" i="4"/>
  <c r="W151" i="4" s="1"/>
  <c r="W152" i="4" s="1"/>
  <c r="W78" i="4"/>
  <c r="W79" i="4" s="1"/>
  <c r="W80" i="4" s="1"/>
  <c r="W228" i="4"/>
  <c r="W126" i="4"/>
  <c r="W127" i="4" s="1"/>
  <c r="W128" i="4" s="1"/>
  <c r="W174" i="4"/>
  <c r="W175" i="4" s="1"/>
  <c r="W176" i="4" s="1"/>
  <c r="W102" i="4"/>
  <c r="W103" i="4" s="1"/>
  <c r="W104" i="4" s="1"/>
  <c r="B14" i="6"/>
  <c r="B13" i="6"/>
  <c r="B102" i="4"/>
  <c r="B150" i="4"/>
  <c r="B78" i="4"/>
  <c r="B126" i="4"/>
  <c r="B174" i="4"/>
  <c r="B228" i="4"/>
  <c r="C126" i="4"/>
  <c r="C228" i="4"/>
  <c r="C150" i="4"/>
  <c r="C78" i="4"/>
  <c r="C174" i="4"/>
  <c r="C102" i="4"/>
  <c r="D174" i="4"/>
  <c r="D150" i="4"/>
  <c r="D78" i="4"/>
  <c r="D228" i="4"/>
  <c r="D126" i="4"/>
  <c r="D102" i="4"/>
  <c r="H228" i="4"/>
  <c r="H150" i="4"/>
  <c r="H126" i="4"/>
  <c r="H78" i="4"/>
  <c r="H102" i="4"/>
  <c r="H174" i="4"/>
  <c r="I228" i="4"/>
  <c r="I150" i="4"/>
  <c r="I174" i="4"/>
  <c r="I78" i="4"/>
  <c r="I102" i="4"/>
  <c r="I126" i="4"/>
  <c r="J228" i="4"/>
  <c r="J126" i="4"/>
  <c r="J174" i="4"/>
  <c r="J78" i="4"/>
  <c r="J102" i="4"/>
  <c r="J150" i="4"/>
  <c r="K102" i="4"/>
  <c r="K126" i="4"/>
  <c r="K150" i="4"/>
  <c r="K78" i="4"/>
  <c r="K228" i="4"/>
  <c r="K174" i="4"/>
  <c r="L150" i="4"/>
  <c r="L102" i="4"/>
  <c r="L174" i="4"/>
  <c r="L78" i="4"/>
  <c r="L228" i="4"/>
  <c r="L126" i="4"/>
  <c r="M102" i="4"/>
  <c r="M78" i="4"/>
  <c r="M174" i="4"/>
  <c r="M228" i="4"/>
  <c r="M126" i="4"/>
  <c r="M150" i="4"/>
  <c r="N150" i="4"/>
  <c r="N78" i="4"/>
  <c r="N126" i="4"/>
  <c r="N102" i="4"/>
  <c r="N228" i="4"/>
  <c r="N174" i="4"/>
  <c r="O126" i="4"/>
  <c r="O78" i="4"/>
  <c r="O102" i="4"/>
  <c r="O174" i="4"/>
  <c r="O150" i="4"/>
  <c r="O228" i="4"/>
  <c r="P174" i="4"/>
  <c r="P78" i="4"/>
  <c r="P102" i="4"/>
  <c r="P150" i="4"/>
  <c r="P228" i="4"/>
  <c r="P126" i="4"/>
  <c r="Q228" i="4"/>
  <c r="Q126" i="4"/>
  <c r="Q102" i="4"/>
  <c r="Q150" i="4"/>
  <c r="Q78" i="4"/>
  <c r="Q174" i="4"/>
  <c r="R102" i="4"/>
  <c r="R174" i="4"/>
  <c r="R78" i="4"/>
  <c r="R228" i="4"/>
  <c r="R126" i="4"/>
  <c r="R150" i="4"/>
  <c r="S102" i="4"/>
  <c r="S78" i="4"/>
  <c r="S150" i="4"/>
  <c r="S228" i="4"/>
  <c r="S126" i="4"/>
  <c r="S174" i="4"/>
  <c r="T102" i="4"/>
  <c r="T228" i="4"/>
  <c r="T78" i="4"/>
  <c r="T150" i="4"/>
  <c r="T126" i="4"/>
  <c r="T174" i="4"/>
  <c r="U126" i="4"/>
  <c r="U102" i="4"/>
  <c r="U228" i="4"/>
  <c r="U150" i="4"/>
  <c r="U78" i="4"/>
  <c r="U174" i="4"/>
  <c r="V126" i="4"/>
  <c r="V150" i="4"/>
  <c r="V228" i="4"/>
  <c r="V102" i="4"/>
  <c r="V78" i="4"/>
  <c r="V174" i="4"/>
  <c r="T83" i="4"/>
  <c r="T88" i="4"/>
  <c r="T90" i="4" s="1"/>
  <c r="T112" i="4"/>
  <c r="T114" i="4" s="1"/>
  <c r="T107" i="4"/>
  <c r="T136" i="4"/>
  <c r="T138" i="4" s="1"/>
  <c r="T131" i="4"/>
  <c r="T184" i="4"/>
  <c r="T186" i="4" s="1"/>
  <c r="T179" i="4"/>
  <c r="T160" i="4"/>
  <c r="T162" i="4" s="1"/>
  <c r="T155" i="4"/>
  <c r="O83" i="4"/>
  <c r="O88" i="4"/>
  <c r="O90" i="4" s="1"/>
  <c r="O112" i="4"/>
  <c r="O114" i="4" s="1"/>
  <c r="O107" i="4"/>
  <c r="O136" i="4"/>
  <c r="O138" i="4" s="1"/>
  <c r="O131" i="4"/>
  <c r="O160" i="4"/>
  <c r="O162" i="4" s="1"/>
  <c r="O155" i="4"/>
  <c r="O184" i="4"/>
  <c r="O186" i="4" s="1"/>
  <c r="O179" i="4"/>
  <c r="N83" i="4"/>
  <c r="N88" i="4"/>
  <c r="N90" i="4" s="1"/>
  <c r="N112" i="4"/>
  <c r="N114" i="4" s="1"/>
  <c r="N107" i="4"/>
  <c r="N184" i="4"/>
  <c r="N186" i="4" s="1"/>
  <c r="N179" i="4"/>
  <c r="N136" i="4"/>
  <c r="N138" i="4" s="1"/>
  <c r="N131" i="4"/>
  <c r="N160" i="4"/>
  <c r="N162" i="4" s="1"/>
  <c r="N155" i="4"/>
  <c r="M88" i="4"/>
  <c r="M90" i="4" s="1"/>
  <c r="M83" i="4"/>
  <c r="M112" i="4"/>
  <c r="M114" i="4" s="1"/>
  <c r="M107" i="4"/>
  <c r="M184" i="4"/>
  <c r="M186" i="4" s="1"/>
  <c r="M179" i="4"/>
  <c r="M136" i="4"/>
  <c r="M138" i="4" s="1"/>
  <c r="M131" i="4"/>
  <c r="M160" i="4"/>
  <c r="M162" i="4" s="1"/>
  <c r="M155" i="4"/>
  <c r="K88" i="4"/>
  <c r="K90" i="4" s="1"/>
  <c r="K83" i="4"/>
  <c r="K112" i="4"/>
  <c r="K114" i="4" s="1"/>
  <c r="K107" i="4"/>
  <c r="K184" i="4"/>
  <c r="K186" i="4" s="1"/>
  <c r="K179" i="4"/>
  <c r="K160" i="4"/>
  <c r="K162" i="4" s="1"/>
  <c r="K155" i="4"/>
  <c r="K136" i="4"/>
  <c r="K138" i="4" s="1"/>
  <c r="K131" i="4"/>
  <c r="J88" i="4"/>
  <c r="J90" i="4" s="1"/>
  <c r="J83" i="4"/>
  <c r="J112" i="4"/>
  <c r="J114" i="4" s="1"/>
  <c r="J107" i="4"/>
  <c r="J160" i="4"/>
  <c r="J162" i="4" s="1"/>
  <c r="J155" i="4"/>
  <c r="J184" i="4"/>
  <c r="J186" i="4" s="1"/>
  <c r="J179" i="4"/>
  <c r="J136" i="4"/>
  <c r="J138" i="4" s="1"/>
  <c r="J131" i="4"/>
  <c r="H83" i="4"/>
  <c r="H88" i="4"/>
  <c r="H90" i="4" s="1"/>
  <c r="H112" i="4"/>
  <c r="H114" i="4" s="1"/>
  <c r="H107" i="4"/>
  <c r="H136" i="4"/>
  <c r="H138" i="4" s="1"/>
  <c r="H131" i="4"/>
  <c r="H184" i="4"/>
  <c r="H186" i="4" s="1"/>
  <c r="H179" i="4"/>
  <c r="H160" i="4"/>
  <c r="H162" i="4" s="1"/>
  <c r="H155" i="4"/>
  <c r="V83" i="4"/>
  <c r="V88" i="4"/>
  <c r="V90" i="4" s="1"/>
  <c r="V112" i="4"/>
  <c r="V114" i="4" s="1"/>
  <c r="V107" i="4"/>
  <c r="V136" i="4"/>
  <c r="V138" i="4" s="1"/>
  <c r="V131" i="4"/>
  <c r="V184" i="4"/>
  <c r="V186" i="4" s="1"/>
  <c r="V179" i="4"/>
  <c r="V160" i="4"/>
  <c r="V162" i="4" s="1"/>
  <c r="V155" i="4"/>
  <c r="L88" i="4"/>
  <c r="L90" i="4" s="1"/>
  <c r="L83" i="4"/>
  <c r="L112" i="4"/>
  <c r="L114" i="4" s="1"/>
  <c r="L107" i="4"/>
  <c r="L184" i="4"/>
  <c r="L186" i="4" s="1"/>
  <c r="L179" i="4"/>
  <c r="L160" i="4"/>
  <c r="L162" i="4" s="1"/>
  <c r="L155" i="4"/>
  <c r="L136" i="4"/>
  <c r="L138" i="4" s="1"/>
  <c r="L131" i="4"/>
  <c r="P83" i="4"/>
  <c r="P88" i="4"/>
  <c r="P90" i="4" s="1"/>
  <c r="P112" i="4"/>
  <c r="P114" i="4" s="1"/>
  <c r="P107" i="4"/>
  <c r="P184" i="4"/>
  <c r="P186" i="4" s="1"/>
  <c r="P179" i="4"/>
  <c r="P160" i="4"/>
  <c r="P162" i="4" s="1"/>
  <c r="P155" i="4"/>
  <c r="P136" i="4"/>
  <c r="P138" i="4" s="1"/>
  <c r="P131" i="4"/>
  <c r="R88" i="4"/>
  <c r="R90" i="4" s="1"/>
  <c r="R83" i="4"/>
  <c r="R112" i="4"/>
  <c r="R114" i="4" s="1"/>
  <c r="R107" i="4"/>
  <c r="R184" i="4"/>
  <c r="R186" i="4" s="1"/>
  <c r="R179" i="4"/>
  <c r="R136" i="4"/>
  <c r="R138" i="4" s="1"/>
  <c r="R131" i="4"/>
  <c r="R160" i="4"/>
  <c r="R162" i="4" s="1"/>
  <c r="R155" i="4"/>
  <c r="B49" i="7"/>
  <c r="C90" i="4"/>
  <c r="C49" i="7"/>
  <c r="C114" i="4"/>
  <c r="F49" i="7"/>
  <c r="C186" i="4"/>
  <c r="C138" i="4"/>
  <c r="D49" i="7"/>
  <c r="E49" i="7"/>
  <c r="C162" i="4"/>
  <c r="Q83" i="4"/>
  <c r="Q88" i="4"/>
  <c r="Q90" i="4" s="1"/>
  <c r="Q112" i="4"/>
  <c r="Q114" i="4" s="1"/>
  <c r="Q107" i="4"/>
  <c r="Q184" i="4"/>
  <c r="Q186" i="4" s="1"/>
  <c r="Q179" i="4"/>
  <c r="Q136" i="4"/>
  <c r="Q138" i="4" s="1"/>
  <c r="Q131" i="4"/>
  <c r="Q160" i="4"/>
  <c r="Q162" i="4" s="1"/>
  <c r="Q155" i="4"/>
  <c r="S83" i="4"/>
  <c r="S88" i="4"/>
  <c r="S90" i="4" s="1"/>
  <c r="S112" i="4"/>
  <c r="S114" i="4" s="1"/>
  <c r="S107" i="4"/>
  <c r="S184" i="4"/>
  <c r="S186" i="4" s="1"/>
  <c r="S179" i="4"/>
  <c r="S136" i="4"/>
  <c r="S138" i="4" s="1"/>
  <c r="S131" i="4"/>
  <c r="S160" i="4"/>
  <c r="S162" i="4" s="1"/>
  <c r="S155" i="4"/>
  <c r="U83" i="4"/>
  <c r="U88" i="4"/>
  <c r="U90" i="4" s="1"/>
  <c r="U112" i="4"/>
  <c r="U114" i="4" s="1"/>
  <c r="U107" i="4"/>
  <c r="U160" i="4"/>
  <c r="U162" i="4" s="1"/>
  <c r="U155" i="4"/>
  <c r="U184" i="4"/>
  <c r="U186" i="4" s="1"/>
  <c r="U179" i="4"/>
  <c r="U136" i="4"/>
  <c r="U138" i="4" s="1"/>
  <c r="U131" i="4"/>
  <c r="C67" i="4"/>
  <c r="C31" i="7" s="1"/>
  <c r="C84" i="4"/>
  <c r="C108" i="4"/>
  <c r="C180" i="4"/>
  <c r="C156" i="4"/>
  <c r="C132" i="4"/>
  <c r="C134" i="4" s="1"/>
  <c r="D47" i="7" s="1"/>
  <c r="C30" i="7"/>
  <c r="C198" i="4"/>
  <c r="C135" i="4"/>
  <c r="C83" i="4"/>
  <c r="B57" i="1" s="1"/>
  <c r="B45" i="7"/>
  <c r="K198" i="4"/>
  <c r="K67" i="4"/>
  <c r="K84" i="4"/>
  <c r="K108" i="4"/>
  <c r="K156" i="4"/>
  <c r="K180" i="4"/>
  <c r="K132" i="4"/>
  <c r="U198" i="4"/>
  <c r="U67" i="4"/>
  <c r="U84" i="4"/>
  <c r="U108" i="4"/>
  <c r="U180" i="4"/>
  <c r="U156" i="4"/>
  <c r="U132" i="4"/>
  <c r="V198" i="4"/>
  <c r="V67" i="4"/>
  <c r="V84" i="4"/>
  <c r="V108" i="4"/>
  <c r="V132" i="4"/>
  <c r="V180" i="4"/>
  <c r="V156" i="4"/>
  <c r="H198" i="4"/>
  <c r="H67" i="4"/>
  <c r="H84" i="4"/>
  <c r="H108" i="4"/>
  <c r="H180" i="4"/>
  <c r="H156" i="4"/>
  <c r="H132" i="4"/>
  <c r="I198" i="4"/>
  <c r="I67" i="4"/>
  <c r="I84" i="4"/>
  <c r="I108" i="4"/>
  <c r="I180" i="4"/>
  <c r="I132" i="4"/>
  <c r="I156" i="4"/>
  <c r="J198" i="4"/>
  <c r="J67" i="4"/>
  <c r="J84" i="4"/>
  <c r="J108" i="4"/>
  <c r="J180" i="4"/>
  <c r="J156" i="4"/>
  <c r="J132" i="4"/>
  <c r="T198" i="4"/>
  <c r="T67" i="4"/>
  <c r="T84" i="4"/>
  <c r="T108" i="4"/>
  <c r="T156" i="4"/>
  <c r="T180" i="4"/>
  <c r="T132" i="4"/>
  <c r="L198" i="4"/>
  <c r="L67" i="4"/>
  <c r="L84" i="4"/>
  <c r="L108" i="4"/>
  <c r="L180" i="4"/>
  <c r="L132" i="4"/>
  <c r="L156" i="4"/>
  <c r="M198" i="4"/>
  <c r="M67" i="4"/>
  <c r="M84" i="4"/>
  <c r="M108" i="4"/>
  <c r="M132" i="4"/>
  <c r="M180" i="4"/>
  <c r="M156" i="4"/>
  <c r="N198" i="4"/>
  <c r="N67" i="4"/>
  <c r="N84" i="4"/>
  <c r="N108" i="4"/>
  <c r="N180" i="4"/>
  <c r="N156" i="4"/>
  <c r="N132" i="4"/>
  <c r="O198" i="4"/>
  <c r="O67" i="4"/>
  <c r="O84" i="4"/>
  <c r="O108" i="4"/>
  <c r="O180" i="4"/>
  <c r="O156" i="4"/>
  <c r="O132" i="4"/>
  <c r="P198" i="4"/>
  <c r="P67" i="4"/>
  <c r="P84" i="4"/>
  <c r="P108" i="4"/>
  <c r="P180" i="4"/>
  <c r="P156" i="4"/>
  <c r="P132" i="4"/>
  <c r="Q198" i="4"/>
  <c r="Q67" i="4"/>
  <c r="Q84" i="4"/>
  <c r="Q108" i="4"/>
  <c r="Q156" i="4"/>
  <c r="Q180" i="4"/>
  <c r="Q132" i="4"/>
  <c r="R198" i="4"/>
  <c r="R67" i="4"/>
  <c r="R84" i="4"/>
  <c r="R108" i="4"/>
  <c r="R180" i="4"/>
  <c r="R132" i="4"/>
  <c r="R156" i="4"/>
  <c r="S198" i="4"/>
  <c r="S67" i="4"/>
  <c r="S84" i="4"/>
  <c r="S108" i="4"/>
  <c r="S180" i="4"/>
  <c r="S132" i="4"/>
  <c r="S156" i="4"/>
  <c r="B201" i="4"/>
  <c r="B36" i="7" s="1"/>
  <c r="D201" i="4"/>
  <c r="I201" i="4"/>
  <c r="M206" i="4"/>
  <c r="M204" i="4"/>
  <c r="O206" i="4"/>
  <c r="O204" i="4"/>
  <c r="P206" i="4"/>
  <c r="P204" i="4"/>
  <c r="Q206" i="4"/>
  <c r="Q204" i="4"/>
  <c r="L206" i="4"/>
  <c r="L204" i="4"/>
  <c r="N206" i="4"/>
  <c r="N204" i="4"/>
  <c r="R206" i="4"/>
  <c r="R204" i="4"/>
  <c r="S206" i="4"/>
  <c r="S204" i="4"/>
  <c r="V206" i="4"/>
  <c r="V204" i="4"/>
  <c r="T206" i="4"/>
  <c r="T204" i="4"/>
  <c r="U206" i="4"/>
  <c r="U204" i="4"/>
  <c r="H206" i="4"/>
  <c r="H204" i="4"/>
  <c r="J206" i="4"/>
  <c r="J204" i="4"/>
  <c r="K206" i="4"/>
  <c r="K204" i="4"/>
  <c r="D83" i="4"/>
  <c r="B83" i="4"/>
  <c r="D182" i="4" l="1"/>
  <c r="D183" i="4"/>
  <c r="D185" i="4" s="1"/>
  <c r="D158" i="4"/>
  <c r="D159" i="4"/>
  <c r="D161" i="4" s="1"/>
  <c r="D134" i="4"/>
  <c r="D135" i="4"/>
  <c r="D137" i="4" s="1"/>
  <c r="D86" i="4"/>
  <c r="D92" i="4" s="1"/>
  <c r="D87" i="4"/>
  <c r="D89" i="4" s="1"/>
  <c r="B86" i="4"/>
  <c r="B92" i="4" s="1"/>
  <c r="B87" i="4"/>
  <c r="B89" i="4" s="1"/>
  <c r="C110" i="4"/>
  <c r="C47" i="7" s="1"/>
  <c r="C111" i="4"/>
  <c r="C182" i="4"/>
  <c r="F47" i="7" s="1"/>
  <c r="C183" i="4"/>
  <c r="C158" i="4"/>
  <c r="E47" i="7" s="1"/>
  <c r="C159" i="4"/>
  <c r="B110" i="4"/>
  <c r="B111" i="4"/>
  <c r="B113" i="4" s="1"/>
  <c r="B182" i="4"/>
  <c r="B183" i="4"/>
  <c r="B185" i="4" s="1"/>
  <c r="B134" i="4"/>
  <c r="B135" i="4"/>
  <c r="B137" i="4" s="1"/>
  <c r="B229" i="4"/>
  <c r="B127" i="4"/>
  <c r="B128" i="4" s="1"/>
  <c r="W200" i="4"/>
  <c r="D103" i="4"/>
  <c r="D104" i="4" s="1"/>
  <c r="D151" i="4"/>
  <c r="D152" i="4" s="1"/>
  <c r="D127" i="4"/>
  <c r="D128" i="4" s="1"/>
  <c r="B103" i="4"/>
  <c r="B104" i="4" s="1"/>
  <c r="B151" i="4"/>
  <c r="B152" i="4" s="1"/>
  <c r="B79" i="4"/>
  <c r="B80" i="4" s="1"/>
  <c r="B175" i="4"/>
  <c r="B176" i="4" s="1"/>
  <c r="B55" i="4"/>
  <c r="B218" i="4" s="1"/>
  <c r="B52" i="4"/>
  <c r="H148" i="4"/>
  <c r="H149" i="4" s="1"/>
  <c r="H151" i="4" s="1"/>
  <c r="H152" i="4" s="1"/>
  <c r="H124" i="4"/>
  <c r="H125" i="4" s="1"/>
  <c r="H127" i="4" s="1"/>
  <c r="H128" i="4" s="1"/>
  <c r="H172" i="4"/>
  <c r="H173" i="4" s="1"/>
  <c r="H100" i="4"/>
  <c r="H101" i="4" s="1"/>
  <c r="H103" i="4" s="1"/>
  <c r="H104" i="4" s="1"/>
  <c r="H76" i="4"/>
  <c r="H77" i="4" s="1"/>
  <c r="H79" i="4" s="1"/>
  <c r="H80" i="4" s="1"/>
  <c r="H49" i="4"/>
  <c r="H51" i="4" s="1"/>
  <c r="I148" i="4"/>
  <c r="I149" i="4" s="1"/>
  <c r="I151" i="4" s="1"/>
  <c r="I152" i="4" s="1"/>
  <c r="I172" i="4"/>
  <c r="I173" i="4" s="1"/>
  <c r="I124" i="4"/>
  <c r="I125" i="4" s="1"/>
  <c r="I127" i="4" s="1"/>
  <c r="I128" i="4" s="1"/>
  <c r="I100" i="4"/>
  <c r="I101" i="4" s="1"/>
  <c r="I103" i="4" s="1"/>
  <c r="I104" i="4" s="1"/>
  <c r="I76" i="4"/>
  <c r="I77" i="4" s="1"/>
  <c r="I79" i="4" s="1"/>
  <c r="I80" i="4" s="1"/>
  <c r="I49" i="4"/>
  <c r="I51" i="4" s="1"/>
  <c r="J124" i="4"/>
  <c r="J125" i="4" s="1"/>
  <c r="J127" i="4" s="1"/>
  <c r="J128" i="4" s="1"/>
  <c r="J148" i="4"/>
  <c r="J149" i="4" s="1"/>
  <c r="J151" i="4" s="1"/>
  <c r="J152" i="4" s="1"/>
  <c r="J172" i="4"/>
  <c r="J173" i="4" s="1"/>
  <c r="J100" i="4"/>
  <c r="J101" i="4" s="1"/>
  <c r="J103" i="4" s="1"/>
  <c r="J104" i="4" s="1"/>
  <c r="J76" i="4"/>
  <c r="J77" i="4" s="1"/>
  <c r="J79" i="4" s="1"/>
  <c r="J80" i="4" s="1"/>
  <c r="J49" i="4"/>
  <c r="J51" i="4" s="1"/>
  <c r="K148" i="4"/>
  <c r="K149" i="4" s="1"/>
  <c r="K151" i="4" s="1"/>
  <c r="K152" i="4" s="1"/>
  <c r="K172" i="4"/>
  <c r="K173" i="4" s="1"/>
  <c r="K124" i="4"/>
  <c r="K125" i="4" s="1"/>
  <c r="K127" i="4" s="1"/>
  <c r="K128" i="4" s="1"/>
  <c r="K100" i="4"/>
  <c r="K101" i="4" s="1"/>
  <c r="K103" i="4" s="1"/>
  <c r="K104" i="4" s="1"/>
  <c r="K76" i="4"/>
  <c r="K77" i="4" s="1"/>
  <c r="K79" i="4" s="1"/>
  <c r="K80" i="4" s="1"/>
  <c r="K49" i="4"/>
  <c r="K51" i="4" s="1"/>
  <c r="L148" i="4"/>
  <c r="L149" i="4" s="1"/>
  <c r="L151" i="4" s="1"/>
  <c r="L152" i="4" s="1"/>
  <c r="L124" i="4"/>
  <c r="L125" i="4" s="1"/>
  <c r="L127" i="4" s="1"/>
  <c r="L128" i="4" s="1"/>
  <c r="L172" i="4"/>
  <c r="L173" i="4" s="1"/>
  <c r="L100" i="4"/>
  <c r="L101" i="4" s="1"/>
  <c r="L103" i="4" s="1"/>
  <c r="L104" i="4" s="1"/>
  <c r="L76" i="4"/>
  <c r="L77" i="4" s="1"/>
  <c r="L79" i="4" s="1"/>
  <c r="L80" i="4" s="1"/>
  <c r="L49" i="4"/>
  <c r="L51" i="4" s="1"/>
  <c r="M124" i="4"/>
  <c r="M125" i="4" s="1"/>
  <c r="M127" i="4" s="1"/>
  <c r="M128" i="4" s="1"/>
  <c r="M148" i="4"/>
  <c r="M149" i="4" s="1"/>
  <c r="M151" i="4" s="1"/>
  <c r="M152" i="4" s="1"/>
  <c r="M172" i="4"/>
  <c r="M173" i="4" s="1"/>
  <c r="M100" i="4"/>
  <c r="M101" i="4" s="1"/>
  <c r="M103" i="4" s="1"/>
  <c r="M104" i="4" s="1"/>
  <c r="M76" i="4"/>
  <c r="M77" i="4" s="1"/>
  <c r="M79" i="4" s="1"/>
  <c r="M80" i="4" s="1"/>
  <c r="M49" i="4"/>
  <c r="M51" i="4" s="1"/>
  <c r="N124" i="4"/>
  <c r="N125" i="4" s="1"/>
  <c r="N127" i="4" s="1"/>
  <c r="N128" i="4" s="1"/>
  <c r="N148" i="4"/>
  <c r="N149" i="4" s="1"/>
  <c r="N151" i="4" s="1"/>
  <c r="N152" i="4" s="1"/>
  <c r="N172" i="4"/>
  <c r="N173" i="4" s="1"/>
  <c r="N100" i="4"/>
  <c r="N101" i="4" s="1"/>
  <c r="N103" i="4" s="1"/>
  <c r="N104" i="4" s="1"/>
  <c r="N76" i="4"/>
  <c r="N77" i="4" s="1"/>
  <c r="N79" i="4" s="1"/>
  <c r="N80" i="4" s="1"/>
  <c r="N49" i="4"/>
  <c r="N51" i="4" s="1"/>
  <c r="O148" i="4"/>
  <c r="O149" i="4" s="1"/>
  <c r="O151" i="4" s="1"/>
  <c r="O152" i="4" s="1"/>
  <c r="O172" i="4"/>
  <c r="O173" i="4" s="1"/>
  <c r="O124" i="4"/>
  <c r="O125" i="4" s="1"/>
  <c r="O127" i="4" s="1"/>
  <c r="O128" i="4" s="1"/>
  <c r="O100" i="4"/>
  <c r="O101" i="4" s="1"/>
  <c r="O103" i="4" s="1"/>
  <c r="O104" i="4" s="1"/>
  <c r="O76" i="4"/>
  <c r="O77" i="4" s="1"/>
  <c r="O79" i="4" s="1"/>
  <c r="O80" i="4" s="1"/>
  <c r="O49" i="4"/>
  <c r="O51" i="4" s="1"/>
  <c r="P124" i="4"/>
  <c r="P125" i="4" s="1"/>
  <c r="P127" i="4" s="1"/>
  <c r="P128" i="4" s="1"/>
  <c r="P172" i="4"/>
  <c r="P173" i="4" s="1"/>
  <c r="P148" i="4"/>
  <c r="P149" i="4" s="1"/>
  <c r="P151" i="4" s="1"/>
  <c r="P152" i="4" s="1"/>
  <c r="P100" i="4"/>
  <c r="P101" i="4" s="1"/>
  <c r="P103" i="4" s="1"/>
  <c r="P104" i="4" s="1"/>
  <c r="P76" i="4"/>
  <c r="P77" i="4" s="1"/>
  <c r="P79" i="4" s="1"/>
  <c r="P80" i="4" s="1"/>
  <c r="P49" i="4"/>
  <c r="P51" i="4" s="1"/>
  <c r="Q124" i="4"/>
  <c r="Q125" i="4" s="1"/>
  <c r="Q127" i="4" s="1"/>
  <c r="Q128" i="4" s="1"/>
  <c r="Q172" i="4"/>
  <c r="Q173" i="4" s="1"/>
  <c r="Q148" i="4"/>
  <c r="Q149" i="4" s="1"/>
  <c r="Q151" i="4" s="1"/>
  <c r="Q152" i="4" s="1"/>
  <c r="Q100" i="4"/>
  <c r="Q101" i="4" s="1"/>
  <c r="Q103" i="4" s="1"/>
  <c r="Q104" i="4" s="1"/>
  <c r="Q76" i="4"/>
  <c r="Q77" i="4" s="1"/>
  <c r="Q79" i="4" s="1"/>
  <c r="Q80" i="4" s="1"/>
  <c r="Q49" i="4"/>
  <c r="Q51" i="4" s="1"/>
  <c r="R124" i="4"/>
  <c r="R125" i="4" s="1"/>
  <c r="R127" i="4" s="1"/>
  <c r="R128" i="4" s="1"/>
  <c r="R172" i="4"/>
  <c r="R173" i="4" s="1"/>
  <c r="R148" i="4"/>
  <c r="R149" i="4" s="1"/>
  <c r="R151" i="4" s="1"/>
  <c r="R152" i="4" s="1"/>
  <c r="R100" i="4"/>
  <c r="R101" i="4" s="1"/>
  <c r="R103" i="4" s="1"/>
  <c r="R104" i="4" s="1"/>
  <c r="R76" i="4"/>
  <c r="R77" i="4" s="1"/>
  <c r="R79" i="4" s="1"/>
  <c r="R80" i="4" s="1"/>
  <c r="R49" i="4"/>
  <c r="R51" i="4" s="1"/>
  <c r="S148" i="4"/>
  <c r="S149" i="4" s="1"/>
  <c r="S151" i="4" s="1"/>
  <c r="S152" i="4" s="1"/>
  <c r="S124" i="4"/>
  <c r="S125" i="4" s="1"/>
  <c r="S127" i="4" s="1"/>
  <c r="S128" i="4" s="1"/>
  <c r="S172" i="4"/>
  <c r="S173" i="4" s="1"/>
  <c r="S100" i="4"/>
  <c r="S101" i="4" s="1"/>
  <c r="S103" i="4" s="1"/>
  <c r="S104" i="4" s="1"/>
  <c r="S76" i="4"/>
  <c r="S77" i="4" s="1"/>
  <c r="S79" i="4" s="1"/>
  <c r="S80" i="4" s="1"/>
  <c r="S49" i="4"/>
  <c r="S51" i="4" s="1"/>
  <c r="T124" i="4"/>
  <c r="T125" i="4" s="1"/>
  <c r="T127" i="4" s="1"/>
  <c r="T128" i="4" s="1"/>
  <c r="T148" i="4"/>
  <c r="T149" i="4" s="1"/>
  <c r="T151" i="4" s="1"/>
  <c r="T152" i="4" s="1"/>
  <c r="T172" i="4"/>
  <c r="T173" i="4" s="1"/>
  <c r="T100" i="4"/>
  <c r="T101" i="4" s="1"/>
  <c r="T103" i="4" s="1"/>
  <c r="T104" i="4" s="1"/>
  <c r="T76" i="4"/>
  <c r="T77" i="4" s="1"/>
  <c r="T79" i="4" s="1"/>
  <c r="T80" i="4" s="1"/>
  <c r="T49" i="4"/>
  <c r="T51" i="4" s="1"/>
  <c r="V124" i="4"/>
  <c r="V125" i="4" s="1"/>
  <c r="V127" i="4" s="1"/>
  <c r="V128" i="4" s="1"/>
  <c r="V148" i="4"/>
  <c r="V149" i="4" s="1"/>
  <c r="V151" i="4" s="1"/>
  <c r="V152" i="4" s="1"/>
  <c r="V172" i="4"/>
  <c r="V173" i="4" s="1"/>
  <c r="V100" i="4"/>
  <c r="V101" i="4" s="1"/>
  <c r="V103" i="4" s="1"/>
  <c r="V104" i="4" s="1"/>
  <c r="V76" i="4"/>
  <c r="V77" i="4" s="1"/>
  <c r="V79" i="4" s="1"/>
  <c r="V80" i="4" s="1"/>
  <c r="V49" i="4"/>
  <c r="V51" i="4" s="1"/>
  <c r="C124" i="4"/>
  <c r="C125" i="4" s="1"/>
  <c r="C127" i="4" s="1"/>
  <c r="C128" i="4" s="1"/>
  <c r="C49" i="4"/>
  <c r="C51" i="4" s="1"/>
  <c r="C100" i="4"/>
  <c r="C101" i="4" s="1"/>
  <c r="C103" i="4" s="1"/>
  <c r="C104" i="4" s="1"/>
  <c r="C148" i="4"/>
  <c r="C149" i="4" s="1"/>
  <c r="C151" i="4" s="1"/>
  <c r="C152" i="4" s="1"/>
  <c r="C76" i="4"/>
  <c r="C77" i="4" s="1"/>
  <c r="C79" i="4" s="1"/>
  <c r="C80" i="4" s="1"/>
  <c r="C172" i="4"/>
  <c r="C173" i="4" s="1"/>
  <c r="D55" i="4"/>
  <c r="D218" i="4" s="1"/>
  <c r="D52" i="4"/>
  <c r="D227" i="4"/>
  <c r="D229" i="4" s="1"/>
  <c r="D175" i="4"/>
  <c r="D176" i="4" s="1"/>
  <c r="D79" i="4"/>
  <c r="D80" i="4" s="1"/>
  <c r="W95" i="4"/>
  <c r="W115" i="4" s="1"/>
  <c r="W116" i="4" s="1"/>
  <c r="W96" i="4"/>
  <c r="W57" i="4"/>
  <c r="W53" i="4"/>
  <c r="W229" i="4"/>
  <c r="W230" i="4" s="1"/>
  <c r="C86" i="4"/>
  <c r="C87" i="4"/>
  <c r="I182" i="4"/>
  <c r="I183" i="4"/>
  <c r="I185" i="4" s="1"/>
  <c r="L201" i="4"/>
  <c r="L207" i="4" s="1"/>
  <c r="L208" i="4" s="1"/>
  <c r="M201" i="4"/>
  <c r="M207" i="4" s="1"/>
  <c r="M208" i="4" s="1"/>
  <c r="V134" i="4"/>
  <c r="V135" i="4"/>
  <c r="V137" i="4" s="1"/>
  <c r="I134" i="4"/>
  <c r="I135" i="4"/>
  <c r="I137" i="4" s="1"/>
  <c r="I158" i="4"/>
  <c r="I159" i="4"/>
  <c r="I161" i="4" s="1"/>
  <c r="M110" i="4"/>
  <c r="M111" i="4"/>
  <c r="M113" i="4" s="1"/>
  <c r="M134" i="4"/>
  <c r="M135" i="4"/>
  <c r="M137" i="4" s="1"/>
  <c r="M182" i="4"/>
  <c r="M183" i="4"/>
  <c r="M185" i="4" s="1"/>
  <c r="M158" i="4"/>
  <c r="M159" i="4"/>
  <c r="M161" i="4" s="1"/>
  <c r="N134" i="4"/>
  <c r="N135" i="4"/>
  <c r="N137" i="4" s="1"/>
  <c r="D48" i="7"/>
  <c r="C137" i="4"/>
  <c r="U49" i="4"/>
  <c r="U51" i="4" s="1"/>
  <c r="U76" i="4"/>
  <c r="U77" i="4" s="1"/>
  <c r="U100" i="4"/>
  <c r="U101" i="4" s="1"/>
  <c r="U124" i="4"/>
  <c r="U125" i="4" s="1"/>
  <c r="U148" i="4"/>
  <c r="U149" i="4" s="1"/>
  <c r="U172" i="4"/>
  <c r="U173" i="4" s="1"/>
  <c r="D207" i="4"/>
  <c r="D36" i="7"/>
  <c r="K201" i="4"/>
  <c r="K207" i="4" s="1"/>
  <c r="K208" i="4" s="1"/>
  <c r="J201" i="4"/>
  <c r="J207" i="4" s="1"/>
  <c r="J208" i="4" s="1"/>
  <c r="H201" i="4"/>
  <c r="H207" i="4" s="1"/>
  <c r="H208" i="4" s="1"/>
  <c r="V201" i="4"/>
  <c r="V207" i="4" s="1"/>
  <c r="V208" i="4" s="1"/>
  <c r="S201" i="4"/>
  <c r="S207" i="4" s="1"/>
  <c r="S208" i="4" s="1"/>
  <c r="P201" i="4"/>
  <c r="P207" i="4" s="1"/>
  <c r="P208" i="4" s="1"/>
  <c r="R201" i="4"/>
  <c r="R207" i="4" s="1"/>
  <c r="R208" i="4" s="1"/>
  <c r="C201" i="4"/>
  <c r="Q201" i="4"/>
  <c r="Q207" i="4" s="1"/>
  <c r="Q208" i="4" s="1"/>
  <c r="O201" i="4"/>
  <c r="O207" i="4" s="1"/>
  <c r="O208" i="4" s="1"/>
  <c r="T201" i="4"/>
  <c r="T207" i="4" s="1"/>
  <c r="T208" i="4" s="1"/>
  <c r="N201" i="4"/>
  <c r="N207" i="4" s="1"/>
  <c r="N208" i="4" s="1"/>
  <c r="U201" i="4"/>
  <c r="U207" i="4" s="1"/>
  <c r="U208" i="4" s="1"/>
  <c r="K86" i="4"/>
  <c r="K87" i="4"/>
  <c r="K89" i="4" s="1"/>
  <c r="K110" i="4"/>
  <c r="K111" i="4"/>
  <c r="K113" i="4" s="1"/>
  <c r="K158" i="4"/>
  <c r="K159" i="4"/>
  <c r="K161" i="4" s="1"/>
  <c r="K182" i="4"/>
  <c r="K183" i="4"/>
  <c r="K185" i="4" s="1"/>
  <c r="K134" i="4"/>
  <c r="K135" i="4"/>
  <c r="K137" i="4" s="1"/>
  <c r="U86" i="4"/>
  <c r="U87" i="4"/>
  <c r="U89" i="4" s="1"/>
  <c r="U110" i="4"/>
  <c r="U111" i="4"/>
  <c r="U113" i="4" s="1"/>
  <c r="U182" i="4"/>
  <c r="U183" i="4"/>
  <c r="U185" i="4" s="1"/>
  <c r="U158" i="4"/>
  <c r="U159" i="4"/>
  <c r="U161" i="4" s="1"/>
  <c r="U134" i="4"/>
  <c r="U135" i="4"/>
  <c r="U137" i="4" s="1"/>
  <c r="V86" i="4"/>
  <c r="V87" i="4"/>
  <c r="V89" i="4" s="1"/>
  <c r="V110" i="4"/>
  <c r="V111" i="4"/>
  <c r="V113" i="4" s="1"/>
  <c r="V182" i="4"/>
  <c r="V183" i="4"/>
  <c r="V185" i="4" s="1"/>
  <c r="V158" i="4"/>
  <c r="V159" i="4"/>
  <c r="V161" i="4" s="1"/>
  <c r="H86" i="4"/>
  <c r="H87" i="4"/>
  <c r="H89" i="4" s="1"/>
  <c r="H110" i="4"/>
  <c r="H111" i="4"/>
  <c r="H113" i="4" s="1"/>
  <c r="H182" i="4"/>
  <c r="H183" i="4"/>
  <c r="H185" i="4" s="1"/>
  <c r="H158" i="4"/>
  <c r="H159" i="4"/>
  <c r="H161" i="4" s="1"/>
  <c r="H134" i="4"/>
  <c r="H135" i="4"/>
  <c r="H137" i="4" s="1"/>
  <c r="I86" i="4"/>
  <c r="I87" i="4"/>
  <c r="I89" i="4" s="1"/>
  <c r="I110" i="4"/>
  <c r="I111" i="4"/>
  <c r="I113" i="4" s="1"/>
  <c r="J86" i="4"/>
  <c r="J87" i="4"/>
  <c r="J89" i="4" s="1"/>
  <c r="J110" i="4"/>
  <c r="J111" i="4"/>
  <c r="J113" i="4" s="1"/>
  <c r="J182" i="4"/>
  <c r="J183" i="4"/>
  <c r="J185" i="4" s="1"/>
  <c r="J158" i="4"/>
  <c r="J159" i="4"/>
  <c r="J161" i="4" s="1"/>
  <c r="J134" i="4"/>
  <c r="J135" i="4"/>
  <c r="J137" i="4" s="1"/>
  <c r="T86" i="4"/>
  <c r="T87" i="4"/>
  <c r="T89" i="4" s="1"/>
  <c r="T110" i="4"/>
  <c r="T111" i="4"/>
  <c r="T113" i="4" s="1"/>
  <c r="T158" i="4"/>
  <c r="T159" i="4"/>
  <c r="T161" i="4" s="1"/>
  <c r="T182" i="4"/>
  <c r="T183" i="4"/>
  <c r="T185" i="4" s="1"/>
  <c r="T134" i="4"/>
  <c r="T135" i="4"/>
  <c r="T137" i="4" s="1"/>
  <c r="L86" i="4"/>
  <c r="L87" i="4"/>
  <c r="L89" i="4" s="1"/>
  <c r="L110" i="4"/>
  <c r="L111" i="4"/>
  <c r="L113" i="4" s="1"/>
  <c r="L182" i="4"/>
  <c r="L183" i="4"/>
  <c r="L185" i="4" s="1"/>
  <c r="L134" i="4"/>
  <c r="L135" i="4"/>
  <c r="L137" i="4" s="1"/>
  <c r="L158" i="4"/>
  <c r="L159" i="4"/>
  <c r="L161" i="4" s="1"/>
  <c r="M86" i="4"/>
  <c r="M87" i="4"/>
  <c r="M89" i="4" s="1"/>
  <c r="N86" i="4"/>
  <c r="N87" i="4"/>
  <c r="N89" i="4" s="1"/>
  <c r="N110" i="4"/>
  <c r="N111" i="4"/>
  <c r="N113" i="4" s="1"/>
  <c r="N182" i="4"/>
  <c r="N183" i="4"/>
  <c r="N185" i="4" s="1"/>
  <c r="N158" i="4"/>
  <c r="N159" i="4"/>
  <c r="N161" i="4" s="1"/>
  <c r="O86" i="4"/>
  <c r="O87" i="4"/>
  <c r="O89" i="4" s="1"/>
  <c r="O110" i="4"/>
  <c r="O111" i="4"/>
  <c r="O113" i="4" s="1"/>
  <c r="O182" i="4"/>
  <c r="O183" i="4"/>
  <c r="O185" i="4" s="1"/>
  <c r="O158" i="4"/>
  <c r="O159" i="4"/>
  <c r="O161" i="4" s="1"/>
  <c r="O134" i="4"/>
  <c r="O135" i="4"/>
  <c r="O137" i="4" s="1"/>
  <c r="P86" i="4"/>
  <c r="P87" i="4"/>
  <c r="P89" i="4" s="1"/>
  <c r="P110" i="4"/>
  <c r="P111" i="4"/>
  <c r="P113" i="4" s="1"/>
  <c r="P182" i="4"/>
  <c r="P183" i="4"/>
  <c r="P185" i="4" s="1"/>
  <c r="P158" i="4"/>
  <c r="P159" i="4"/>
  <c r="P161" i="4" s="1"/>
  <c r="P134" i="4"/>
  <c r="P135" i="4"/>
  <c r="P137" i="4" s="1"/>
  <c r="Q86" i="4"/>
  <c r="Q87" i="4"/>
  <c r="Q89" i="4" s="1"/>
  <c r="Q110" i="4"/>
  <c r="Q111" i="4"/>
  <c r="Q113" i="4" s="1"/>
  <c r="Q158" i="4"/>
  <c r="Q159" i="4"/>
  <c r="Q161" i="4" s="1"/>
  <c r="Q182" i="4"/>
  <c r="Q183" i="4"/>
  <c r="Q185" i="4" s="1"/>
  <c r="Q134" i="4"/>
  <c r="Q135" i="4"/>
  <c r="Q137" i="4" s="1"/>
  <c r="R86" i="4"/>
  <c r="R87" i="4"/>
  <c r="R89" i="4" s="1"/>
  <c r="R110" i="4"/>
  <c r="R111" i="4"/>
  <c r="R113" i="4" s="1"/>
  <c r="R182" i="4"/>
  <c r="R183" i="4"/>
  <c r="R185" i="4" s="1"/>
  <c r="R134" i="4"/>
  <c r="R135" i="4"/>
  <c r="R137" i="4" s="1"/>
  <c r="R158" i="4"/>
  <c r="R159" i="4"/>
  <c r="R161" i="4" s="1"/>
  <c r="S86" i="4"/>
  <c r="S87" i="4"/>
  <c r="S89" i="4" s="1"/>
  <c r="S110" i="4"/>
  <c r="S111" i="4"/>
  <c r="S113" i="4" s="1"/>
  <c r="S182" i="4"/>
  <c r="S183" i="4"/>
  <c r="S185" i="4" s="1"/>
  <c r="S134" i="4"/>
  <c r="S135" i="4"/>
  <c r="S137" i="4" s="1"/>
  <c r="S158" i="4"/>
  <c r="S159" i="4"/>
  <c r="S161" i="4" s="1"/>
  <c r="D200" i="4" l="1"/>
  <c r="W231" i="4"/>
  <c r="B200" i="4"/>
  <c r="B95" i="4"/>
  <c r="B115" i="4" s="1"/>
  <c r="B116" i="4" s="1"/>
  <c r="B96" i="4"/>
  <c r="C113" i="4"/>
  <c r="C48" i="7"/>
  <c r="C185" i="4"/>
  <c r="F48" i="7"/>
  <c r="E48" i="7"/>
  <c r="C161" i="4"/>
  <c r="D230" i="4"/>
  <c r="B230" i="4"/>
  <c r="J55" i="4"/>
  <c r="J218" i="4" s="1"/>
  <c r="J52" i="4"/>
  <c r="K227" i="4"/>
  <c r="K229" i="4" s="1"/>
  <c r="K175" i="4"/>
  <c r="K176" i="4" s="1"/>
  <c r="W205" i="4"/>
  <c r="W202" i="4"/>
  <c r="H55" i="4"/>
  <c r="H218" i="4" s="1"/>
  <c r="H52" i="4"/>
  <c r="I227" i="4"/>
  <c r="I229" i="4" s="1"/>
  <c r="I175" i="4"/>
  <c r="I176" i="4" s="1"/>
  <c r="I55" i="4"/>
  <c r="I218" i="4" s="1"/>
  <c r="I52" i="4"/>
  <c r="J175" i="4"/>
  <c r="J176" i="4" s="1"/>
  <c r="J227" i="4"/>
  <c r="J229" i="4" s="1"/>
  <c r="L92" i="4"/>
  <c r="B53" i="4"/>
  <c r="B57" i="4"/>
  <c r="B32" i="6"/>
  <c r="B33" i="6" s="1"/>
  <c r="H175" i="4"/>
  <c r="H176" i="4" s="1"/>
  <c r="H227" i="4"/>
  <c r="H229" i="4" s="1"/>
  <c r="K92" i="4"/>
  <c r="V92" i="4"/>
  <c r="S92" i="4"/>
  <c r="T92" i="4"/>
  <c r="M92" i="4"/>
  <c r="N92" i="4"/>
  <c r="O92" i="4"/>
  <c r="P92" i="4"/>
  <c r="W119" i="4"/>
  <c r="W139" i="4" s="1"/>
  <c r="W140" i="4" s="1"/>
  <c r="W120" i="4"/>
  <c r="H92" i="4"/>
  <c r="I92" i="4"/>
  <c r="J92" i="4"/>
  <c r="Q92" i="4"/>
  <c r="R92" i="4"/>
  <c r="K55" i="4"/>
  <c r="K218" i="4" s="1"/>
  <c r="K52" i="4"/>
  <c r="L227" i="4"/>
  <c r="L229" i="4" s="1"/>
  <c r="L175" i="4"/>
  <c r="L176" i="4" s="1"/>
  <c r="L55" i="4"/>
  <c r="L218" i="4" s="1"/>
  <c r="L52" i="4"/>
  <c r="M175" i="4"/>
  <c r="M176" i="4" s="1"/>
  <c r="M227" i="4"/>
  <c r="M229" i="4" s="1"/>
  <c r="M55" i="4"/>
  <c r="M218" i="4" s="1"/>
  <c r="M52" i="4"/>
  <c r="N175" i="4"/>
  <c r="N176" i="4" s="1"/>
  <c r="N227" i="4"/>
  <c r="N229" i="4" s="1"/>
  <c r="N55" i="4"/>
  <c r="N218" i="4" s="1"/>
  <c r="N52" i="4"/>
  <c r="O175" i="4"/>
  <c r="O176" i="4" s="1"/>
  <c r="O227" i="4"/>
  <c r="O229" i="4" s="1"/>
  <c r="O55" i="4"/>
  <c r="O218" i="4" s="1"/>
  <c r="O52" i="4"/>
  <c r="P175" i="4"/>
  <c r="P176" i="4" s="1"/>
  <c r="P227" i="4"/>
  <c r="P229" i="4" s="1"/>
  <c r="P55" i="4"/>
  <c r="P218" i="4" s="1"/>
  <c r="P52" i="4"/>
  <c r="Q175" i="4"/>
  <c r="Q176" i="4" s="1"/>
  <c r="Q227" i="4"/>
  <c r="Q229" i="4" s="1"/>
  <c r="Q55" i="4"/>
  <c r="Q218" i="4" s="1"/>
  <c r="Q52" i="4"/>
  <c r="R175" i="4"/>
  <c r="R176" i="4" s="1"/>
  <c r="R227" i="4"/>
  <c r="R229" i="4" s="1"/>
  <c r="R55" i="4"/>
  <c r="R218" i="4" s="1"/>
  <c r="R52" i="4"/>
  <c r="S175" i="4"/>
  <c r="S176" i="4" s="1"/>
  <c r="S227" i="4"/>
  <c r="S229" i="4" s="1"/>
  <c r="S55" i="4"/>
  <c r="S218" i="4" s="1"/>
  <c r="S52" i="4"/>
  <c r="T227" i="4"/>
  <c r="T229" i="4" s="1"/>
  <c r="T175" i="4"/>
  <c r="T176" i="4" s="1"/>
  <c r="T55" i="4"/>
  <c r="T218" i="4" s="1"/>
  <c r="T52" i="4"/>
  <c r="V175" i="4"/>
  <c r="V176" i="4" s="1"/>
  <c r="V227" i="4"/>
  <c r="V229" i="4" s="1"/>
  <c r="V55" i="4"/>
  <c r="V218" i="4" s="1"/>
  <c r="V52" i="4"/>
  <c r="C55" i="4"/>
  <c r="C218" i="4" s="1"/>
  <c r="C52" i="4"/>
  <c r="C227" i="4"/>
  <c r="C229" i="4" s="1"/>
  <c r="C175" i="4"/>
  <c r="C176" i="4" s="1"/>
  <c r="D53" i="4"/>
  <c r="D57" i="4"/>
  <c r="D32" i="6"/>
  <c r="D33" i="6" s="1"/>
  <c r="D95" i="4"/>
  <c r="D115" i="4" s="1"/>
  <c r="D116" i="4" s="1"/>
  <c r="D96" i="4"/>
  <c r="W54" i="4"/>
  <c r="W213" i="4"/>
  <c r="B47" i="7"/>
  <c r="C92" i="4"/>
  <c r="C89" i="4"/>
  <c r="B48" i="7"/>
  <c r="M200" i="4"/>
  <c r="S200" i="4"/>
  <c r="U55" i="4"/>
  <c r="U218" i="4" s="1"/>
  <c r="U52" i="4"/>
  <c r="U92" i="4"/>
  <c r="U79" i="4"/>
  <c r="U80" i="4" s="1"/>
  <c r="U103" i="4"/>
  <c r="U104" i="4" s="1"/>
  <c r="U127" i="4"/>
  <c r="U128" i="4" s="1"/>
  <c r="U151" i="4"/>
  <c r="U152" i="4" s="1"/>
  <c r="U175" i="4"/>
  <c r="U176" i="4" s="1"/>
  <c r="U227" i="4"/>
  <c r="U229" i="4" s="1"/>
  <c r="D208" i="4"/>
  <c r="D41" i="7" s="1"/>
  <c r="D40" i="7"/>
  <c r="C36" i="7"/>
  <c r="C207" i="4"/>
  <c r="N200" i="4"/>
  <c r="O200" i="4"/>
  <c r="K200" i="4"/>
  <c r="U200" i="4"/>
  <c r="V200" i="4"/>
  <c r="H200" i="4"/>
  <c r="I200" i="4"/>
  <c r="J200" i="4"/>
  <c r="T200" i="4"/>
  <c r="L200" i="4"/>
  <c r="P200" i="4"/>
  <c r="Q200" i="4"/>
  <c r="R200" i="4"/>
  <c r="D35" i="7" l="1"/>
  <c r="D202" i="4"/>
  <c r="D205" i="4"/>
  <c r="D39" i="7" s="1"/>
  <c r="D232" i="4"/>
  <c r="D233" i="4" s="1"/>
  <c r="K230" i="4"/>
  <c r="C230" i="4"/>
  <c r="C231" i="4" s="1"/>
  <c r="W214" i="4"/>
  <c r="W215" i="4" s="1"/>
  <c r="W245" i="4" s="1"/>
  <c r="B231" i="4"/>
  <c r="W232" i="4"/>
  <c r="W233" i="4" s="1"/>
  <c r="W246" i="4" s="1"/>
  <c r="W219" i="4"/>
  <c r="W220" i="4" s="1"/>
  <c r="W249" i="4" s="1"/>
  <c r="B35" i="7"/>
  <c r="B202" i="4"/>
  <c r="B205" i="4"/>
  <c r="B39" i="7" s="1"/>
  <c r="S230" i="4"/>
  <c r="C200" i="4"/>
  <c r="D231" i="4"/>
  <c r="I230" i="4"/>
  <c r="T230" i="4"/>
  <c r="V230" i="4"/>
  <c r="R230" i="4"/>
  <c r="J53" i="4"/>
  <c r="J57" i="4"/>
  <c r="L95" i="4"/>
  <c r="L115" i="4" s="1"/>
  <c r="L116" i="4" s="1"/>
  <c r="L96" i="4"/>
  <c r="Q53" i="4"/>
  <c r="Q57" i="4"/>
  <c r="J230" i="4"/>
  <c r="L230" i="4"/>
  <c r="H230" i="4"/>
  <c r="N230" i="4"/>
  <c r="O230" i="4"/>
  <c r="W203" i="4"/>
  <c r="H57" i="4"/>
  <c r="H53" i="4"/>
  <c r="I57" i="4"/>
  <c r="I53" i="4"/>
  <c r="B54" i="4"/>
  <c r="B213" i="4"/>
  <c r="P95" i="4"/>
  <c r="P115" i="4" s="1"/>
  <c r="P116" i="4" s="1"/>
  <c r="P96" i="4"/>
  <c r="H95" i="4"/>
  <c r="H115" i="4" s="1"/>
  <c r="H116" i="4" s="1"/>
  <c r="H96" i="4"/>
  <c r="I95" i="4"/>
  <c r="I115" i="4" s="1"/>
  <c r="I116" i="4" s="1"/>
  <c r="I96" i="4"/>
  <c r="M230" i="4"/>
  <c r="P230" i="4"/>
  <c r="Q230" i="4"/>
  <c r="K95" i="4"/>
  <c r="K115" i="4" s="1"/>
  <c r="K116" i="4" s="1"/>
  <c r="K96" i="4"/>
  <c r="V95" i="4"/>
  <c r="V115" i="4" s="1"/>
  <c r="V116" i="4" s="1"/>
  <c r="V96" i="4"/>
  <c r="S95" i="4"/>
  <c r="S115" i="4" s="1"/>
  <c r="S116" i="4" s="1"/>
  <c r="S96" i="4"/>
  <c r="T95" i="4"/>
  <c r="T115" i="4" s="1"/>
  <c r="T116" i="4" s="1"/>
  <c r="T96" i="4"/>
  <c r="M95" i="4"/>
  <c r="M115" i="4" s="1"/>
  <c r="M116" i="4" s="1"/>
  <c r="M96" i="4"/>
  <c r="N95" i="4"/>
  <c r="N115" i="4" s="1"/>
  <c r="N116" i="4" s="1"/>
  <c r="N96" i="4"/>
  <c r="O96" i="4"/>
  <c r="O95" i="4"/>
  <c r="O115" i="4" s="1"/>
  <c r="O116" i="4" s="1"/>
  <c r="J95" i="4"/>
  <c r="J115" i="4" s="1"/>
  <c r="J116" i="4" s="1"/>
  <c r="J96" i="4"/>
  <c r="Q95" i="4"/>
  <c r="Q115" i="4" s="1"/>
  <c r="Q116" i="4" s="1"/>
  <c r="Q96" i="4"/>
  <c r="R96" i="4"/>
  <c r="R95" i="4"/>
  <c r="R115" i="4" s="1"/>
  <c r="R116" i="4" s="1"/>
  <c r="K53" i="4"/>
  <c r="K57" i="4"/>
  <c r="L53" i="4"/>
  <c r="L57" i="4"/>
  <c r="M53" i="4"/>
  <c r="M57" i="4"/>
  <c r="N53" i="4"/>
  <c r="N57" i="4"/>
  <c r="O53" i="4"/>
  <c r="O57" i="4"/>
  <c r="P53" i="4"/>
  <c r="P57" i="4"/>
  <c r="R53" i="4"/>
  <c r="R57" i="4"/>
  <c r="S53" i="4"/>
  <c r="S57" i="4"/>
  <c r="T53" i="4"/>
  <c r="T57" i="4"/>
  <c r="V53" i="4"/>
  <c r="V57" i="4"/>
  <c r="C53" i="4"/>
  <c r="C57" i="4"/>
  <c r="C32" i="6"/>
  <c r="C33" i="6" s="1"/>
  <c r="D54" i="4"/>
  <c r="D213" i="4"/>
  <c r="W144" i="4"/>
  <c r="W143" i="4"/>
  <c r="C95" i="4"/>
  <c r="C96" i="4"/>
  <c r="B59" i="1"/>
  <c r="M202" i="4"/>
  <c r="M219" i="4" s="1"/>
  <c r="M205" i="4"/>
  <c r="S202" i="4"/>
  <c r="S219" i="4" s="1"/>
  <c r="S205" i="4"/>
  <c r="U53" i="4"/>
  <c r="U57" i="4"/>
  <c r="U95" i="4"/>
  <c r="U96" i="4"/>
  <c r="C208" i="4"/>
  <c r="C41" i="7" s="1"/>
  <c r="C40" i="7"/>
  <c r="N205" i="4"/>
  <c r="N202" i="4"/>
  <c r="N219" i="4" s="1"/>
  <c r="O205" i="4"/>
  <c r="O202" i="4"/>
  <c r="O219" i="4" s="1"/>
  <c r="K202" i="4"/>
  <c r="K219" i="4" s="1"/>
  <c r="K205" i="4"/>
  <c r="U205" i="4"/>
  <c r="U202" i="4"/>
  <c r="U219" i="4" s="1"/>
  <c r="V205" i="4"/>
  <c r="V202" i="4"/>
  <c r="V219" i="4" s="1"/>
  <c r="H205" i="4"/>
  <c r="H202" i="4"/>
  <c r="H219" i="4" s="1"/>
  <c r="I205" i="4"/>
  <c r="I202" i="4"/>
  <c r="I219" i="4" s="1"/>
  <c r="J205" i="4"/>
  <c r="J202" i="4"/>
  <c r="J219" i="4" s="1"/>
  <c r="T205" i="4"/>
  <c r="T202" i="4"/>
  <c r="T219" i="4" s="1"/>
  <c r="L205" i="4"/>
  <c r="L202" i="4"/>
  <c r="L219" i="4" s="1"/>
  <c r="P205" i="4"/>
  <c r="P202" i="4"/>
  <c r="P219" i="4" s="1"/>
  <c r="Q205" i="4"/>
  <c r="Q202" i="4"/>
  <c r="Q219" i="4" s="1"/>
  <c r="R205" i="4"/>
  <c r="R202" i="4"/>
  <c r="R219" i="4" s="1"/>
  <c r="U230" i="4"/>
  <c r="B120" i="4"/>
  <c r="B119" i="4"/>
  <c r="D120" i="4"/>
  <c r="D119" i="4"/>
  <c r="D219" i="4" l="1"/>
  <c r="D220" i="4" s="1"/>
  <c r="D48" i="6"/>
  <c r="D203" i="4"/>
  <c r="D38" i="7" s="1"/>
  <c r="D37" i="7"/>
  <c r="D214" i="4"/>
  <c r="D215" i="4" s="1"/>
  <c r="K231" i="4"/>
  <c r="K232" i="4"/>
  <c r="K233" i="4" s="1"/>
  <c r="K246" i="4" s="1"/>
  <c r="B214" i="4"/>
  <c r="B215" i="4" s="1"/>
  <c r="U232" i="4"/>
  <c r="U233" i="4" s="1"/>
  <c r="U246" i="4" s="1"/>
  <c r="B232" i="4"/>
  <c r="B233" i="4" s="1"/>
  <c r="B219" i="4"/>
  <c r="B220" i="4" s="1"/>
  <c r="S231" i="4"/>
  <c r="S232" i="4"/>
  <c r="S233" i="4" s="1"/>
  <c r="S246" i="4" s="1"/>
  <c r="I231" i="4"/>
  <c r="I232" i="4"/>
  <c r="I233" i="4" s="1"/>
  <c r="I246" i="4" s="1"/>
  <c r="T231" i="4"/>
  <c r="T232" i="4"/>
  <c r="T233" i="4" s="1"/>
  <c r="T246" i="4" s="1"/>
  <c r="V231" i="4"/>
  <c r="V232" i="4"/>
  <c r="V233" i="4" s="1"/>
  <c r="V246" i="4" s="1"/>
  <c r="R231" i="4"/>
  <c r="R232" i="4"/>
  <c r="R233" i="4" s="1"/>
  <c r="R246" i="4" s="1"/>
  <c r="J231" i="4"/>
  <c r="J232" i="4"/>
  <c r="J233" i="4" s="1"/>
  <c r="J246" i="4" s="1"/>
  <c r="L231" i="4"/>
  <c r="L232" i="4"/>
  <c r="L233" i="4" s="1"/>
  <c r="L246" i="4" s="1"/>
  <c r="H231" i="4"/>
  <c r="H232" i="4"/>
  <c r="H233" i="4" s="1"/>
  <c r="H246" i="4" s="1"/>
  <c r="N231" i="4"/>
  <c r="N232" i="4"/>
  <c r="N233" i="4" s="1"/>
  <c r="N246" i="4" s="1"/>
  <c r="O231" i="4"/>
  <c r="O232" i="4"/>
  <c r="O233" i="4" s="1"/>
  <c r="O246" i="4" s="1"/>
  <c r="M231" i="4"/>
  <c r="M232" i="4"/>
  <c r="M233" i="4" s="1"/>
  <c r="M246" i="4" s="1"/>
  <c r="P231" i="4"/>
  <c r="P232" i="4"/>
  <c r="P233" i="4" s="1"/>
  <c r="P246" i="4" s="1"/>
  <c r="Q231" i="4"/>
  <c r="Q232" i="4"/>
  <c r="Q233" i="4" s="1"/>
  <c r="Q246" i="4" s="1"/>
  <c r="C35" i="7"/>
  <c r="C202" i="4"/>
  <c r="C205" i="4"/>
  <c r="C39" i="7" s="1"/>
  <c r="B203" i="4"/>
  <c r="B38" i="7" s="1"/>
  <c r="B48" i="6"/>
  <c r="B37" i="7"/>
  <c r="D15" i="1"/>
  <c r="D249" i="4"/>
  <c r="D246" i="4"/>
  <c r="D12" i="1"/>
  <c r="J54" i="4"/>
  <c r="J213" i="4"/>
  <c r="J214" i="4" s="1"/>
  <c r="J215" i="4" s="1"/>
  <c r="J245" i="4" s="1"/>
  <c r="Q54" i="4"/>
  <c r="Q213" i="4"/>
  <c r="Q214" i="4" s="1"/>
  <c r="Q215" i="4" s="1"/>
  <c r="Q245" i="4" s="1"/>
  <c r="S54" i="4"/>
  <c r="S213" i="4"/>
  <c r="S214" i="4" s="1"/>
  <c r="S215" i="4" s="1"/>
  <c r="S245" i="4" s="1"/>
  <c r="T54" i="4"/>
  <c r="T213" i="4"/>
  <c r="T214" i="4" s="1"/>
  <c r="T215" i="4" s="1"/>
  <c r="T245" i="4" s="1"/>
  <c r="V54" i="4"/>
  <c r="V213" i="4"/>
  <c r="V214" i="4" s="1"/>
  <c r="V215" i="4" s="1"/>
  <c r="V245" i="4" s="1"/>
  <c r="B9" i="6"/>
  <c r="B19" i="6"/>
  <c r="C54" i="4"/>
  <c r="C213" i="4"/>
  <c r="H213" i="4"/>
  <c r="H214" i="4" s="1"/>
  <c r="H215" i="4" s="1"/>
  <c r="H245" i="4" s="1"/>
  <c r="H54" i="4"/>
  <c r="I54" i="4"/>
  <c r="I213" i="4"/>
  <c r="I214" i="4" s="1"/>
  <c r="I215" i="4" s="1"/>
  <c r="I245" i="4" s="1"/>
  <c r="K54" i="4"/>
  <c r="K213" i="4"/>
  <c r="K214" i="4" s="1"/>
  <c r="K215" i="4" s="1"/>
  <c r="K245" i="4" s="1"/>
  <c r="L54" i="4"/>
  <c r="L213" i="4"/>
  <c r="L214" i="4" s="1"/>
  <c r="L215" i="4" s="1"/>
  <c r="L245" i="4" s="1"/>
  <c r="M54" i="4"/>
  <c r="M213" i="4"/>
  <c r="M214" i="4" s="1"/>
  <c r="M215" i="4" s="1"/>
  <c r="M245" i="4" s="1"/>
  <c r="N54" i="4"/>
  <c r="N213" i="4"/>
  <c r="N214" i="4" s="1"/>
  <c r="N215" i="4" s="1"/>
  <c r="N245" i="4" s="1"/>
  <c r="O54" i="4"/>
  <c r="O213" i="4"/>
  <c r="O214" i="4" s="1"/>
  <c r="O215" i="4" s="1"/>
  <c r="O245" i="4" s="1"/>
  <c r="P54" i="4"/>
  <c r="P213" i="4"/>
  <c r="P214" i="4" s="1"/>
  <c r="P215" i="4" s="1"/>
  <c r="P245" i="4" s="1"/>
  <c r="R54" i="4"/>
  <c r="R213" i="4"/>
  <c r="R214" i="4" s="1"/>
  <c r="R215" i="4" s="1"/>
  <c r="R245" i="4" s="1"/>
  <c r="B60" i="1"/>
  <c r="C115" i="4"/>
  <c r="C116" i="4" s="1"/>
  <c r="W163" i="4"/>
  <c r="W164" i="4" s="1"/>
  <c r="M220" i="4"/>
  <c r="M249" i="4" s="1"/>
  <c r="M203" i="4"/>
  <c r="S203" i="4"/>
  <c r="S220" i="4"/>
  <c r="S249" i="4" s="1"/>
  <c r="U54" i="4"/>
  <c r="U213" i="4"/>
  <c r="U214" i="4" s="1"/>
  <c r="U215" i="4" s="1"/>
  <c r="U245" i="4" s="1"/>
  <c r="U115" i="4"/>
  <c r="U116" i="4" s="1"/>
  <c r="N220" i="4"/>
  <c r="N249" i="4" s="1"/>
  <c r="N203" i="4"/>
  <c r="O220" i="4"/>
  <c r="O249" i="4" s="1"/>
  <c r="O203" i="4"/>
  <c r="K220" i="4"/>
  <c r="K249" i="4" s="1"/>
  <c r="K203" i="4"/>
  <c r="U220" i="4"/>
  <c r="U249" i="4" s="1"/>
  <c r="U203" i="4"/>
  <c r="V220" i="4"/>
  <c r="V249" i="4" s="1"/>
  <c r="V203" i="4"/>
  <c r="H220" i="4"/>
  <c r="H249" i="4" s="1"/>
  <c r="H203" i="4"/>
  <c r="I220" i="4"/>
  <c r="I249" i="4" s="1"/>
  <c r="I203" i="4"/>
  <c r="J220" i="4"/>
  <c r="J249" i="4" s="1"/>
  <c r="J203" i="4"/>
  <c r="T220" i="4"/>
  <c r="T249" i="4" s="1"/>
  <c r="T203" i="4"/>
  <c r="L220" i="4"/>
  <c r="L249" i="4" s="1"/>
  <c r="L203" i="4"/>
  <c r="P220" i="4"/>
  <c r="P249" i="4" s="1"/>
  <c r="P203" i="4"/>
  <c r="Q220" i="4"/>
  <c r="Q249" i="4" s="1"/>
  <c r="Q203" i="4"/>
  <c r="R220" i="4"/>
  <c r="R249" i="4" s="1"/>
  <c r="R203" i="4"/>
  <c r="U231" i="4"/>
  <c r="B139" i="4"/>
  <c r="B140" i="4" s="1"/>
  <c r="D139" i="4"/>
  <c r="D140" i="4" s="1"/>
  <c r="H120" i="4"/>
  <c r="H119" i="4"/>
  <c r="I120" i="4"/>
  <c r="I119" i="4"/>
  <c r="J120" i="4"/>
  <c r="J119" i="4"/>
  <c r="K120" i="4"/>
  <c r="K119" i="4"/>
  <c r="L120" i="4"/>
  <c r="L119" i="4"/>
  <c r="M120" i="4"/>
  <c r="M119" i="4"/>
  <c r="N120" i="4"/>
  <c r="N119" i="4"/>
  <c r="O120" i="4"/>
  <c r="O119" i="4"/>
  <c r="P120" i="4"/>
  <c r="P119" i="4"/>
  <c r="Q120" i="4"/>
  <c r="Q119" i="4"/>
  <c r="R120" i="4"/>
  <c r="R119" i="4"/>
  <c r="S120" i="4"/>
  <c r="S119" i="4"/>
  <c r="T120" i="4"/>
  <c r="T119" i="4"/>
  <c r="V120" i="4"/>
  <c r="V119" i="4"/>
  <c r="D11" i="1" l="1"/>
  <c r="D245" i="4"/>
  <c r="E9" i="5"/>
  <c r="B7" i="5"/>
  <c r="F9" i="5"/>
  <c r="E8" i="5"/>
  <c r="B8" i="5"/>
  <c r="C7" i="5"/>
  <c r="F6" i="5"/>
  <c r="F10" i="5"/>
  <c r="C10" i="5"/>
  <c r="B9" i="5"/>
  <c r="C8" i="5"/>
  <c r="E7" i="5"/>
  <c r="C6" i="5"/>
  <c r="E10" i="5"/>
  <c r="D9" i="5"/>
  <c r="D8" i="5"/>
  <c r="F7" i="5"/>
  <c r="E6" i="5"/>
  <c r="B6" i="5"/>
  <c r="D10" i="5"/>
  <c r="B10" i="5"/>
  <c r="C9" i="5"/>
  <c r="F8" i="5"/>
  <c r="D7" i="5"/>
  <c r="D6" i="5"/>
  <c r="C214" i="4"/>
  <c r="C215" i="4" s="1"/>
  <c r="B21" i="6"/>
  <c r="B27" i="6" s="1"/>
  <c r="C27" i="6" s="1"/>
  <c r="C219" i="4"/>
  <c r="C220" i="4" s="1"/>
  <c r="C232" i="4"/>
  <c r="C233" i="4" s="1"/>
  <c r="B20" i="6"/>
  <c r="C203" i="4"/>
  <c r="B15" i="5"/>
  <c r="B23" i="6"/>
  <c r="C48" i="6"/>
  <c r="C15" i="5"/>
  <c r="D15" i="5"/>
  <c r="E15" i="5"/>
  <c r="F15" i="5"/>
  <c r="B16" i="5"/>
  <c r="C16" i="5"/>
  <c r="D16" i="5"/>
  <c r="E16" i="5"/>
  <c r="F16" i="5"/>
  <c r="B17" i="5"/>
  <c r="C17" i="5"/>
  <c r="D17" i="5"/>
  <c r="E17" i="5"/>
  <c r="F17" i="5"/>
  <c r="B18" i="5"/>
  <c r="C18" i="5"/>
  <c r="D18" i="5"/>
  <c r="E18" i="5"/>
  <c r="F18" i="5"/>
  <c r="B19" i="5"/>
  <c r="C19" i="5"/>
  <c r="D19" i="5"/>
  <c r="E19" i="5"/>
  <c r="F19" i="5"/>
  <c r="C37" i="7"/>
  <c r="B245" i="4"/>
  <c r="B11" i="1"/>
  <c r="B246" i="4"/>
  <c r="B12" i="1"/>
  <c r="B15" i="1"/>
  <c r="B249" i="4"/>
  <c r="B22" i="6"/>
  <c r="C119" i="4"/>
  <c r="C59" i="1"/>
  <c r="C120" i="4"/>
  <c r="W168" i="4"/>
  <c r="W167" i="4"/>
  <c r="H139" i="4"/>
  <c r="H140" i="4" s="1"/>
  <c r="I139" i="4"/>
  <c r="I140" i="4" s="1"/>
  <c r="J139" i="4"/>
  <c r="J140" i="4" s="1"/>
  <c r="K139" i="4"/>
  <c r="K140" i="4" s="1"/>
  <c r="L139" i="4"/>
  <c r="L140" i="4" s="1"/>
  <c r="M139" i="4"/>
  <c r="M140" i="4" s="1"/>
  <c r="N139" i="4"/>
  <c r="N140" i="4" s="1"/>
  <c r="O139" i="4"/>
  <c r="O140" i="4" s="1"/>
  <c r="P139" i="4"/>
  <c r="P140" i="4" s="1"/>
  <c r="Q139" i="4"/>
  <c r="Q140" i="4" s="1"/>
  <c r="R139" i="4"/>
  <c r="R140" i="4" s="1"/>
  <c r="S139" i="4"/>
  <c r="S140" i="4" s="1"/>
  <c r="T139" i="4"/>
  <c r="T140" i="4" s="1"/>
  <c r="V139" i="4"/>
  <c r="V140" i="4" s="1"/>
  <c r="U120" i="4"/>
  <c r="U119" i="4"/>
  <c r="B144" i="4"/>
  <c r="B143" i="4"/>
  <c r="D144" i="4"/>
  <c r="D143" i="4"/>
  <c r="C54" i="5" l="1"/>
  <c r="C53" i="5"/>
  <c r="C38" i="7"/>
  <c r="B48" i="1"/>
  <c r="B51" i="1"/>
  <c r="B24" i="6"/>
  <c r="C12" i="1"/>
  <c r="C190" i="1" s="1"/>
  <c r="C246" i="4"/>
  <c r="C15" i="1"/>
  <c r="F190" i="1" s="1"/>
  <c r="C249" i="4"/>
  <c r="C245" i="4"/>
  <c r="C50" i="5"/>
  <c r="C11" i="1"/>
  <c r="B190" i="1" s="1"/>
  <c r="C60" i="1"/>
  <c r="C139" i="4"/>
  <c r="C140" i="4" s="1"/>
  <c r="W187" i="4"/>
  <c r="W188" i="4" s="1"/>
  <c r="U139" i="4"/>
  <c r="U140" i="4" s="1"/>
  <c r="B163" i="4"/>
  <c r="B164" i="4" s="1"/>
  <c r="D163" i="4"/>
  <c r="D164" i="4" s="1"/>
  <c r="H144" i="4"/>
  <c r="H143" i="4"/>
  <c r="I144" i="4"/>
  <c r="I143" i="4"/>
  <c r="J144" i="4"/>
  <c r="J143" i="4"/>
  <c r="K144" i="4"/>
  <c r="K143" i="4"/>
  <c r="L144" i="4"/>
  <c r="L143" i="4"/>
  <c r="M144" i="4"/>
  <c r="M143" i="4"/>
  <c r="N144" i="4"/>
  <c r="N143" i="4"/>
  <c r="O144" i="4"/>
  <c r="O143" i="4"/>
  <c r="P144" i="4"/>
  <c r="P143" i="4"/>
  <c r="Q144" i="4"/>
  <c r="Q143" i="4"/>
  <c r="R144" i="4"/>
  <c r="R143" i="4"/>
  <c r="S144" i="4"/>
  <c r="S143" i="4"/>
  <c r="T144" i="4"/>
  <c r="T143" i="4"/>
  <c r="V144" i="4"/>
  <c r="V143" i="4"/>
  <c r="B52" i="1" l="1"/>
  <c r="B25" i="6"/>
  <c r="D59" i="1"/>
  <c r="C144" i="4"/>
  <c r="C143" i="4"/>
  <c r="W192" i="4"/>
  <c r="W191" i="4"/>
  <c r="H163" i="4"/>
  <c r="H164" i="4" s="1"/>
  <c r="I163" i="4"/>
  <c r="I164" i="4" s="1"/>
  <c r="J163" i="4"/>
  <c r="J164" i="4" s="1"/>
  <c r="K163" i="4"/>
  <c r="K164" i="4" s="1"/>
  <c r="L163" i="4"/>
  <c r="L164" i="4" s="1"/>
  <c r="M163" i="4"/>
  <c r="M164" i="4" s="1"/>
  <c r="N163" i="4"/>
  <c r="N164" i="4" s="1"/>
  <c r="O163" i="4"/>
  <c r="O164" i="4" s="1"/>
  <c r="P163" i="4"/>
  <c r="P164" i="4" s="1"/>
  <c r="Q163" i="4"/>
  <c r="Q164" i="4" s="1"/>
  <c r="R163" i="4"/>
  <c r="R164" i="4" s="1"/>
  <c r="S163" i="4"/>
  <c r="S164" i="4" s="1"/>
  <c r="T163" i="4"/>
  <c r="T164" i="4" s="1"/>
  <c r="V163" i="4"/>
  <c r="V164" i="4" s="1"/>
  <c r="U144" i="4"/>
  <c r="U143" i="4"/>
  <c r="B168" i="4"/>
  <c r="B167" i="4"/>
  <c r="D168" i="4"/>
  <c r="D167" i="4"/>
  <c r="D60" i="1" l="1"/>
  <c r="C163" i="4"/>
  <c r="C164" i="4" s="1"/>
  <c r="W195" i="4"/>
  <c r="W194" i="4"/>
  <c r="W237" i="4"/>
  <c r="I168" i="4"/>
  <c r="I167" i="4"/>
  <c r="J168" i="4"/>
  <c r="J167" i="4"/>
  <c r="J187" i="4" s="1"/>
  <c r="J188" i="4" s="1"/>
  <c r="K168" i="4"/>
  <c r="K167" i="4"/>
  <c r="K187" i="4" s="1"/>
  <c r="K188" i="4" s="1"/>
  <c r="P168" i="4"/>
  <c r="P167" i="4"/>
  <c r="P187" i="4" s="1"/>
  <c r="P188" i="4" s="1"/>
  <c r="S168" i="4"/>
  <c r="S167" i="4"/>
  <c r="S187" i="4" s="1"/>
  <c r="S188" i="4" s="1"/>
  <c r="O168" i="4"/>
  <c r="O167" i="4"/>
  <c r="O187" i="4" s="1"/>
  <c r="O188" i="4" s="1"/>
  <c r="R168" i="4"/>
  <c r="R167" i="4"/>
  <c r="R187" i="4" s="1"/>
  <c r="R188" i="4" s="1"/>
  <c r="U163" i="4"/>
  <c r="U164" i="4" s="1"/>
  <c r="B187" i="4"/>
  <c r="B188" i="4" s="1"/>
  <c r="D187" i="4"/>
  <c r="D188" i="4" s="1"/>
  <c r="H168" i="4"/>
  <c r="H167" i="4"/>
  <c r="L168" i="4"/>
  <c r="L167" i="4"/>
  <c r="M168" i="4"/>
  <c r="M167" i="4"/>
  <c r="N168" i="4"/>
  <c r="N167" i="4"/>
  <c r="Q168" i="4"/>
  <c r="Q167" i="4"/>
  <c r="T168" i="4"/>
  <c r="T167" i="4"/>
  <c r="V168" i="4"/>
  <c r="V167" i="4"/>
  <c r="E59" i="1" l="1"/>
  <c r="C168" i="4"/>
  <c r="C167" i="4"/>
  <c r="W238" i="4"/>
  <c r="W239" i="4" s="1"/>
  <c r="W240" i="4" s="1"/>
  <c r="W241" i="4" s="1"/>
  <c r="W242" i="4" s="1"/>
  <c r="W247" i="4" s="1"/>
  <c r="B192" i="4"/>
  <c r="B191" i="4"/>
  <c r="I187" i="4"/>
  <c r="I188" i="4" s="1"/>
  <c r="S192" i="4"/>
  <c r="S191" i="4"/>
  <c r="H187" i="4"/>
  <c r="H188" i="4" s="1"/>
  <c r="L187" i="4"/>
  <c r="L188" i="4" s="1"/>
  <c r="M187" i="4"/>
  <c r="M188" i="4" s="1"/>
  <c r="N187" i="4"/>
  <c r="N188" i="4" s="1"/>
  <c r="Q187" i="4"/>
  <c r="Q188" i="4" s="1"/>
  <c r="T187" i="4"/>
  <c r="T188" i="4" s="1"/>
  <c r="V187" i="4"/>
  <c r="V188" i="4" s="1"/>
  <c r="J192" i="4"/>
  <c r="J191" i="4"/>
  <c r="K192" i="4"/>
  <c r="K191" i="4"/>
  <c r="O192" i="4"/>
  <c r="O191" i="4"/>
  <c r="P192" i="4"/>
  <c r="P191" i="4"/>
  <c r="R192" i="4"/>
  <c r="R191" i="4"/>
  <c r="U168" i="4"/>
  <c r="U167" i="4"/>
  <c r="D192" i="4"/>
  <c r="D191" i="4"/>
  <c r="E60" i="1" l="1"/>
  <c r="C187" i="4"/>
  <c r="C188" i="4" s="1"/>
  <c r="C191" i="4" s="1"/>
  <c r="B237" i="4"/>
  <c r="B238" i="4" s="1"/>
  <c r="B239" i="4" s="1"/>
  <c r="B240" i="4" s="1"/>
  <c r="B241" i="4" s="1"/>
  <c r="B242" i="4" s="1"/>
  <c r="B195" i="4"/>
  <c r="B194" i="4"/>
  <c r="W250" i="4"/>
  <c r="W251" i="4"/>
  <c r="Q192" i="4"/>
  <c r="Q191" i="4"/>
  <c r="I192" i="4"/>
  <c r="I191" i="4"/>
  <c r="S195" i="4"/>
  <c r="S194" i="4"/>
  <c r="S237" i="4"/>
  <c r="S238" i="4" s="1"/>
  <c r="S239" i="4" s="1"/>
  <c r="S240" i="4" s="1"/>
  <c r="S241" i="4" s="1"/>
  <c r="S242" i="4" s="1"/>
  <c r="S247" i="4" s="1"/>
  <c r="H192" i="4"/>
  <c r="H191" i="4"/>
  <c r="J237" i="4"/>
  <c r="J195" i="4"/>
  <c r="J194" i="4"/>
  <c r="K237" i="4"/>
  <c r="K195" i="4"/>
  <c r="K194" i="4"/>
  <c r="O237" i="4"/>
  <c r="O194" i="4"/>
  <c r="O195" i="4"/>
  <c r="P237" i="4"/>
  <c r="P195" i="4"/>
  <c r="P194" i="4"/>
  <c r="R237" i="4"/>
  <c r="R195" i="4"/>
  <c r="R194" i="4"/>
  <c r="U187" i="4"/>
  <c r="U188" i="4" s="1"/>
  <c r="D194" i="4"/>
  <c r="D195" i="4"/>
  <c r="D237" i="4"/>
  <c r="L192" i="4"/>
  <c r="L191" i="4"/>
  <c r="M192" i="4"/>
  <c r="M191" i="4"/>
  <c r="N192" i="4"/>
  <c r="N191" i="4"/>
  <c r="T192" i="4"/>
  <c r="T191" i="4"/>
  <c r="V192" i="4"/>
  <c r="V191" i="4"/>
  <c r="C194" i="4" l="1"/>
  <c r="B49" i="1" s="1"/>
  <c r="C237" i="4"/>
  <c r="F60" i="1"/>
  <c r="C195" i="4"/>
  <c r="C192" i="4"/>
  <c r="F59" i="1"/>
  <c r="B13" i="1"/>
  <c r="B247" i="4"/>
  <c r="W252" i="4"/>
  <c r="C48" i="5"/>
  <c r="Q195" i="4"/>
  <c r="Q194" i="4"/>
  <c r="Q237" i="4"/>
  <c r="Q238" i="4" s="1"/>
  <c r="Q239" i="4" s="1"/>
  <c r="Q240" i="4" s="1"/>
  <c r="Q241" i="4" s="1"/>
  <c r="Q242" i="4" s="1"/>
  <c r="Q247" i="4" s="1"/>
  <c r="I194" i="4"/>
  <c r="I195" i="4"/>
  <c r="I237" i="4"/>
  <c r="I238" i="4" s="1"/>
  <c r="I239" i="4" s="1"/>
  <c r="I240" i="4" s="1"/>
  <c r="I241" i="4" s="1"/>
  <c r="I242" i="4" s="1"/>
  <c r="I247" i="4" s="1"/>
  <c r="H194" i="4"/>
  <c r="H237" i="4"/>
  <c r="H238" i="4" s="1"/>
  <c r="H239" i="4" s="1"/>
  <c r="H240" i="4" s="1"/>
  <c r="H241" i="4" s="1"/>
  <c r="H242" i="4" s="1"/>
  <c r="H247" i="4" s="1"/>
  <c r="H195" i="4"/>
  <c r="S250" i="4"/>
  <c r="S251" i="4"/>
  <c r="J238" i="4"/>
  <c r="J239" i="4" s="1"/>
  <c r="J240" i="4" s="1"/>
  <c r="J241" i="4" s="1"/>
  <c r="J242" i="4" s="1"/>
  <c r="J247" i="4" s="1"/>
  <c r="K238" i="4"/>
  <c r="K239" i="4" s="1"/>
  <c r="K240" i="4" s="1"/>
  <c r="K241" i="4" s="1"/>
  <c r="K242" i="4" s="1"/>
  <c r="K247" i="4" s="1"/>
  <c r="O238" i="4"/>
  <c r="O239" i="4" s="1"/>
  <c r="O240" i="4" s="1"/>
  <c r="O241" i="4" s="1"/>
  <c r="O242" i="4" s="1"/>
  <c r="O247" i="4" s="1"/>
  <c r="P238" i="4"/>
  <c r="P239" i="4" s="1"/>
  <c r="P240" i="4" s="1"/>
  <c r="P241" i="4" s="1"/>
  <c r="P242" i="4" s="1"/>
  <c r="P247" i="4" s="1"/>
  <c r="R238" i="4"/>
  <c r="R239" i="4" s="1"/>
  <c r="R240" i="4" s="1"/>
  <c r="R241" i="4" s="1"/>
  <c r="R242" i="4" s="1"/>
  <c r="R247" i="4" s="1"/>
  <c r="D238" i="4"/>
  <c r="D239" i="4" s="1"/>
  <c r="D240" i="4" s="1"/>
  <c r="D241" i="4" s="1"/>
  <c r="D242" i="4" s="1"/>
  <c r="L194" i="4"/>
  <c r="L195" i="4"/>
  <c r="L237" i="4"/>
  <c r="M194" i="4"/>
  <c r="M195" i="4"/>
  <c r="M237" i="4"/>
  <c r="N195" i="4"/>
  <c r="N194" i="4"/>
  <c r="N237" i="4"/>
  <c r="T195" i="4"/>
  <c r="T194" i="4"/>
  <c r="T237" i="4"/>
  <c r="V194" i="4"/>
  <c r="V195" i="4"/>
  <c r="V237" i="4"/>
  <c r="U192" i="4"/>
  <c r="U191" i="4"/>
  <c r="C238" i="4" l="1"/>
  <c r="C239" i="4" s="1"/>
  <c r="C240" i="4" s="1"/>
  <c r="C241" i="4" s="1"/>
  <c r="C242" i="4" s="1"/>
  <c r="B251" i="4"/>
  <c r="B250" i="4"/>
  <c r="Q251" i="4"/>
  <c r="Q250" i="4"/>
  <c r="I250" i="4"/>
  <c r="I251" i="4"/>
  <c r="C44" i="5"/>
  <c r="S252" i="4"/>
  <c r="J250" i="4"/>
  <c r="J251" i="4"/>
  <c r="K251" i="4"/>
  <c r="K250" i="4"/>
  <c r="O251" i="4"/>
  <c r="O250" i="4"/>
  <c r="P251" i="4"/>
  <c r="P250" i="4"/>
  <c r="R251" i="4"/>
  <c r="R250" i="4"/>
  <c r="D247" i="4"/>
  <c r="D13" i="1"/>
  <c r="H250" i="4"/>
  <c r="H251" i="4"/>
  <c r="L238" i="4"/>
  <c r="L239" i="4" s="1"/>
  <c r="L240" i="4" s="1"/>
  <c r="L241" i="4" s="1"/>
  <c r="L242" i="4" s="1"/>
  <c r="L247" i="4" s="1"/>
  <c r="M238" i="4"/>
  <c r="M239" i="4" s="1"/>
  <c r="M240" i="4" s="1"/>
  <c r="M241" i="4" s="1"/>
  <c r="M242" i="4" s="1"/>
  <c r="M247" i="4" s="1"/>
  <c r="N238" i="4"/>
  <c r="N239" i="4" s="1"/>
  <c r="N240" i="4" s="1"/>
  <c r="N241" i="4" s="1"/>
  <c r="N242" i="4" s="1"/>
  <c r="N247" i="4" s="1"/>
  <c r="T238" i="4"/>
  <c r="T239" i="4" s="1"/>
  <c r="T240" i="4" s="1"/>
  <c r="T241" i="4" s="1"/>
  <c r="T242" i="4" s="1"/>
  <c r="T247" i="4" s="1"/>
  <c r="V238" i="4"/>
  <c r="V239" i="4" s="1"/>
  <c r="V240" i="4" s="1"/>
  <c r="V241" i="4" s="1"/>
  <c r="V242" i="4" s="1"/>
  <c r="V247" i="4" s="1"/>
  <c r="U195" i="4"/>
  <c r="U194" i="4"/>
  <c r="U237" i="4"/>
  <c r="C49" i="5" l="1"/>
  <c r="C52" i="5"/>
  <c r="C247" i="4"/>
  <c r="C51" i="5"/>
  <c r="C13" i="1"/>
  <c r="D190" i="1" s="1"/>
  <c r="C42" i="5"/>
  <c r="Q252" i="4"/>
  <c r="B16" i="1"/>
  <c r="B17" i="1" s="1"/>
  <c r="B255" i="4"/>
  <c r="B252" i="4"/>
  <c r="C34" i="5"/>
  <c r="I252" i="4"/>
  <c r="C35" i="5"/>
  <c r="J252" i="4"/>
  <c r="C36" i="5"/>
  <c r="K252" i="4"/>
  <c r="C40" i="5"/>
  <c r="O252" i="4"/>
  <c r="C41" i="5"/>
  <c r="P252" i="4"/>
  <c r="C43" i="5"/>
  <c r="R252" i="4"/>
  <c r="D251" i="4"/>
  <c r="D250" i="4"/>
  <c r="C33" i="5"/>
  <c r="H252" i="4"/>
  <c r="L250" i="4"/>
  <c r="L251" i="4"/>
  <c r="M251" i="4"/>
  <c r="M250" i="4"/>
  <c r="N251" i="4"/>
  <c r="N250" i="4"/>
  <c r="T251" i="4"/>
  <c r="T250" i="4"/>
  <c r="V250" i="4"/>
  <c r="V251" i="4"/>
  <c r="U238" i="4"/>
  <c r="U239" i="4" s="1"/>
  <c r="U240" i="4" s="1"/>
  <c r="U241" i="4" s="1"/>
  <c r="U242" i="4" s="1"/>
  <c r="U247" i="4" s="1"/>
  <c r="C250" i="4" l="1"/>
  <c r="C251" i="4"/>
  <c r="B24" i="1" s="1"/>
  <c r="D16" i="1"/>
  <c r="D17" i="1" s="1"/>
  <c r="D255" i="4"/>
  <c r="D252" i="4"/>
  <c r="C37" i="5"/>
  <c r="L252" i="4"/>
  <c r="C38" i="5"/>
  <c r="M252" i="4"/>
  <c r="C39" i="5"/>
  <c r="N252" i="4"/>
  <c r="C45" i="5"/>
  <c r="T252" i="4"/>
  <c r="C47" i="5"/>
  <c r="V252" i="4"/>
  <c r="U250" i="4"/>
  <c r="U251" i="4"/>
  <c r="C255" i="4" l="1"/>
  <c r="D42" i="5"/>
  <c r="D51" i="5"/>
  <c r="E51" i="5"/>
  <c r="E49" i="5"/>
  <c r="E33" i="5"/>
  <c r="D12" i="6"/>
  <c r="D33" i="5"/>
  <c r="D10" i="6"/>
  <c r="H253" i="4"/>
  <c r="B8" i="1" s="1"/>
  <c r="D5" i="6"/>
  <c r="E53" i="5"/>
  <c r="D53" i="5"/>
  <c r="B257" i="4"/>
  <c r="E54" i="5"/>
  <c r="E48" i="5"/>
  <c r="D48" i="5"/>
  <c r="C16" i="1"/>
  <c r="E44" i="5"/>
  <c r="C252" i="4"/>
  <c r="E50" i="5"/>
  <c r="D50" i="5"/>
  <c r="D49" i="5"/>
  <c r="E34" i="5"/>
  <c r="D34" i="5"/>
  <c r="D35" i="5"/>
  <c r="E35" i="5"/>
  <c r="E41" i="5"/>
  <c r="E43" i="5"/>
  <c r="D36" i="5"/>
  <c r="E36" i="5"/>
  <c r="D40" i="5"/>
  <c r="E40" i="5"/>
  <c r="D41" i="5"/>
  <c r="D43" i="5"/>
  <c r="D44" i="5"/>
  <c r="D54" i="5"/>
  <c r="E42" i="5"/>
  <c r="D52" i="5"/>
  <c r="E52" i="5"/>
  <c r="D37" i="5"/>
  <c r="E37" i="5"/>
  <c r="D38" i="5"/>
  <c r="E38" i="5"/>
  <c r="D39" i="5"/>
  <c r="E39" i="5"/>
  <c r="D45" i="5"/>
  <c r="E45" i="5"/>
  <c r="D47" i="5"/>
  <c r="E47" i="5"/>
  <c r="C46" i="5"/>
  <c r="U252" i="4"/>
  <c r="D6" i="6" l="1"/>
  <c r="D7" i="6"/>
  <c r="B260" i="4"/>
  <c r="B23" i="1" s="1"/>
  <c r="C12" i="6"/>
  <c r="B259" i="4"/>
  <c r="B22" i="1" s="1"/>
  <c r="B21" i="1"/>
  <c r="C10" i="6"/>
  <c r="C5" i="6"/>
  <c r="B261" i="4"/>
  <c r="C17" i="1"/>
  <c r="C6" i="1"/>
  <c r="G190" i="1"/>
  <c r="D46" i="5"/>
  <c r="E46" i="5"/>
  <c r="D11" i="6" l="1"/>
  <c r="D9" i="6"/>
  <c r="D8" i="6"/>
  <c r="C7" i="6"/>
  <c r="C6" i="6"/>
  <c r="C8" i="6" s="1"/>
  <c r="E6" i="1"/>
  <c r="H190" i="1"/>
  <c r="D6" i="1"/>
  <c r="C9" i="6" l="1"/>
  <c r="C11" i="6"/>
</calcChain>
</file>

<file path=xl/sharedStrings.xml><?xml version="1.0" encoding="utf-8"?>
<sst xmlns="http://schemas.openxmlformats.org/spreadsheetml/2006/main" count="1139" uniqueCount="894">
  <si>
    <t>Chữ xanh dương nền xanh lá = đầu vào · chữ đen = công thức · chữ xanh lá = lấy từ sheet khác · nền vàng = kết quả · nền cam = cảnh báo. Đơn vị tỷ đồng trừ khi ghi khác.</t>
  </si>
  <si>
    <t>CHỈ SỐ CHÍNH</t>
  </si>
  <si>
    <t>Giá thị trường (đồng)</t>
  </si>
  <si>
    <t>Biên an toàn</t>
  </si>
  <si>
    <t>(kỳ vọng − giá) ÷ kỳ vọng</t>
  </si>
  <si>
    <t>Tự kiểm số học (công thức, tổng, khớp DB)</t>
  </si>
  <si>
    <t>1. KẾT QUẢ CHÍNH (đồng/cổ phiếu)</t>
  </si>
  <si>
    <t>Phương pháp</t>
  </si>
  <si>
    <t>Xấu</t>
  </si>
  <si>
    <t>Cơ sở</t>
  </si>
  <si>
    <t>Tốt</t>
  </si>
  <si>
    <t>Trọng số</t>
  </si>
  <si>
    <t>Ghi chú</t>
  </si>
  <si>
    <t>1. P/E lợi nhuận lõi + tiền + dự án</t>
  </si>
  <si>
    <t>2. DCF phần lõi + tiền + dự án</t>
  </si>
  <si>
    <t>3. Chiết khấu cổ tức (DDM)</t>
  </si>
  <si>
    <t>4. P/B theo ROE</t>
  </si>
  <si>
    <t>5. EV/EBITDA lõi + tiền + dự án</t>
  </si>
  <si>
    <t>So giá hiện tại</t>
  </si>
  <si>
    <t>Xác suất</t>
  </si>
  <si>
    <t>25/50/25 mặc định, căn cứ ở 02 mục C</t>
  </si>
  <si>
    <t>GIÁ TRỊ KỲ VỌNG (đồng/cổ phiếu)</t>
  </si>
  <si>
    <t>Con số kết luận</t>
  </si>
  <si>
    <t>Biên an toàn = (kỳ vọng − giá) ÷ kỳ vọng</t>
  </si>
  <si>
    <t>Tỷ lệ lời/lỗ = (kỳ vọng − giá) ÷ (giá − kịch bản xấu)</t>
  </si>
  <si>
    <t>Âm: giá đã trên kỳ vọng</t>
  </si>
  <si>
    <t>Độ phân tán năm phương pháp (cơ sở, cao ÷ thấp)</t>
  </si>
  <si>
    <t>Trên 1,5x: đọc từng phương pháp, đừng chỉ đọc bình quân</t>
  </si>
  <si>
    <t>Cách tính</t>
  </si>
  <si>
    <t>Tiền ròng 30/06/2026 mỗi cổ phiếu (đồng)</t>
  </si>
  <si>
    <t>Giá trị ròng hai dự án, cơ sở (đồng/cp)</t>
  </si>
  <si>
    <t>Âm: phần còn phải chi sinh lời dưới lợi suất dự án — chi tiết 06, giá × chi phí ở 04 bảng 2</t>
  </si>
  <si>
    <t>Tiền ròng thấp nhất 2027–2031, cơ sở (tỷ)</t>
  </si>
  <si>
    <t>Cổ tức cơ sở và chi cả hai dự án. Âm = phải vay</t>
  </si>
  <si>
    <t>Lợi suất yêu cầu phần kinh doanh (r)</t>
  </si>
  <si>
    <t>Rf 4,6% + β 0,72 × ERP 9,2% (02 mục A)</t>
  </si>
  <si>
    <t>Lợi suất ngầm định ở giá hiện tại (phần kinh doanh)</t>
  </si>
  <si>
    <t>Lợi suất kỳ vọng cả cổ phiếu nếu mua ở giá hiện tại</t>
  </si>
  <si>
    <t>LNST Q3/2026 dự báo (tỷ) — mốc kiểm cuối tháng 10</t>
  </si>
  <si>
    <t>Ngoài dải ở 05 mục F thì xem lại B và chi phí bán hàng</t>
  </si>
  <si>
    <t>Khoản</t>
  </si>
  <si>
    <t>2027</t>
  </si>
  <si>
    <t>2028</t>
  </si>
  <si>
    <t>2029</t>
  </si>
  <si>
    <t>2030</t>
  </si>
  <si>
    <t>2031</t>
  </si>
  <si>
    <t>Chi dự án</t>
  </si>
  <si>
    <t>Cổ tức tiền mặt</t>
  </si>
  <si>
    <t>LNST (cả lãi tiền gửi/vay)</t>
  </si>
  <si>
    <t>TIỀN RÒNG CUỐI NĂM</t>
  </si>
  <si>
    <t>Bắt đầu từ 1.398,5 tỷ ngày 30/06/2026. Cổ tức cơ sở và lãi tiền gửi theo 02 mục C.</t>
  </si>
  <si>
    <t>2. Chi phí mỗi lít ở trại tập trung; lãi du lịch; lãi tăng thêm của nhà máy — tự đặt (06).</t>
  </si>
  <si>
    <t>3. Nhà máy: nội dung QĐ 2932/QĐ-UBND 19/11/2025; 18% mặt bằng còn vướng; tiền chi mới ~32 tỷ.</t>
  </si>
  <si>
    <t>4. Trang trại: 1.120 tỷ gồm những gì sau khi thu nhỏ du lịch; nguồn bò; 40,9 tỷ mua của Lao-Jagro.</t>
  </si>
  <si>
    <t>5. Doanh thu theo nhóm 6T/2026 không công bố: Creamery đóng góp bao nhiêu chưa đo được (ĐHĐCĐ: 5–6%).</t>
  </si>
  <si>
    <t>6. BCTC Q3/2026 (cuối tháng 10): nhập LNST vào 05 mục F; xem dở dang trang trại, tiền thuê đất.</t>
  </si>
  <si>
    <t>01_Số liệu gốc</t>
  </si>
  <si>
    <t>Dữ kiện: cổ phiếu, kết quả năm và quý, cân đối, doanh thu theo nhóm và bán cho Vinamilk, ROE, dự án</t>
  </si>
  <si>
    <t>02_Giả định</t>
  </si>
  <si>
    <t>Nhận định: lợi suất yêu cầu (β, ERP), động cơ lõi hiệu chỉnh trên 12 tháng, ba kịch bản, cổ tức</t>
  </si>
  <si>
    <t>03_Định giá</t>
  </si>
  <si>
    <t>04_Độ nhạy</t>
  </si>
  <si>
    <t>B × chi phí bán hàng, giá × chi phí mỗi lít trang trại, ROE × r, mười chín phép thử một biến</t>
  </si>
  <si>
    <t>05_Đối chiếu</t>
  </si>
  <si>
    <t>06_Dự án</t>
  </si>
  <si>
    <t>Hai dự án: giả định trang trại (bò sữa, du lịch), nhà máy; kết quả, hòa vốn, theo dõi quý, hỏi công ty</t>
  </si>
  <si>
    <t>Lợi nhuận lõi (EBIT lõi)</t>
  </si>
  <si>
    <t>Lãi gộp − chi phí bán hàng − chi phí quản lý: không gồm lãi tiền gửi</t>
  </si>
  <si>
    <t>V</t>
  </si>
  <si>
    <t>Doanh thu bán cho Vinamilk: sữa nguyên liệu bán thô + gia công</t>
  </si>
  <si>
    <t>B</t>
  </si>
  <si>
    <t>Phần còn lại: sữa thương hiệu Mộc Châu, thức ăn chăn nuôi, khác — gánh toàn bộ khuyến mãi</t>
  </si>
  <si>
    <t>Năm chuẩn hoá</t>
  </si>
  <si>
    <t>Một năm 'bình thường' ~2027 trước khi dự án có lãi — không phải dự phóng năm cụ thể</t>
  </si>
  <si>
    <t>Giá trị ròng dự án</t>
  </si>
  <si>
    <t>Hiện giá dòng tiền dự án (2027–2031 + 20 năm đều) − hiện giá vốn CÒN phải chi, ở lợi suất dự án (phần đã chi là chi phí chìm)</t>
  </si>
  <si>
    <t>Lợi suất yêu cầu</t>
  </si>
  <si>
    <t>Rf + β × ERP (cách rút gọn của công ty chứng khoán); β đã bỏ phần tiền</t>
  </si>
  <si>
    <t>P/B hợp lý</t>
  </si>
  <si>
    <t>(ROE − g) ÷ (r − g): ROE thấp hơn r thì đáng giá dưới sổ sách</t>
  </si>
  <si>
    <t>DDM</t>
  </si>
  <si>
    <t>Chiết khấu cổ tức: giá trị = hiện giá cổ tức cổ đông thực nhận</t>
  </si>
  <si>
    <t>(giá trị kỳ vọng − giá) ÷ giá trị kỳ vọng</t>
  </si>
  <si>
    <t>Dữ liệu biểu đồ (đừng xoá)</t>
  </si>
  <si>
    <t>P/E lõi</t>
  </si>
  <si>
    <t>DCF</t>
  </si>
  <si>
    <t>Cổ tức</t>
  </si>
  <si>
    <t>P/B-ROE</t>
  </si>
  <si>
    <t>EV/EBITDA</t>
  </si>
  <si>
    <t>Bình quân</t>
  </si>
  <si>
    <t>Kỳ vọng</t>
  </si>
  <si>
    <t>Giá trị (cơ sở)</t>
  </si>
  <si>
    <t>Giá thị trường</t>
  </si>
  <si>
    <t>MCM — SỐ LIỆU GỐC</t>
  </si>
  <si>
    <t>Mọi số ở đây là DỮ KIỆN (báo cáo tài chính, thuyết minh, BCTN, giá). Nhận định nằm ở 02_Giả định. Nền xanh lá chữ xanh dương = số nhập tay; nền vàng = công thức. Đơn vị tỷ đồng trừ khi ghi khác. Số DB kéo ngày 12/10/2026. MCM không có công ty con: BCTC riêng là BCTC duy nhất. Bảng cân đối 30/06/2026 khớp BCTC bán niên soát xét (KPMG, 11/08/2026).</t>
  </si>
  <si>
    <t>A. CỔ PHIẾU VÀ GIÁ</t>
  </si>
  <si>
    <t>Chỉ tiêu</t>
  </si>
  <si>
    <t>Giá trị</t>
  </si>
  <si>
    <t>Đơn vị</t>
  </si>
  <si>
    <t>Nguồn / ghi chú</t>
  </si>
  <si>
    <t>Cổ phiếu đã phát hành</t>
  </si>
  <si>
    <t>triệu cổ phiếu</t>
  </si>
  <si>
    <t>Thuyết minh 21 BCTC 2025: 110.000.000; không đổi đến 30/06/2026</t>
  </si>
  <si>
    <t>Cổ phiếu quỹ</t>
  </si>
  <si>
    <t>BCTC 2025 TM 21: số đang lưu hành = số phát hành</t>
  </si>
  <si>
    <t>CỔ PHIẾU LƯU HÀNH</t>
  </si>
  <si>
    <t>Kiểm chéo: vốn góp trong DB (GEN_BS_097) 30/06/2026</t>
  </si>
  <si>
    <t>tỷ đồng</t>
  </si>
  <si>
    <t>gen_balance_sheet quý 2/2026</t>
  </si>
  <si>
    <t xml:space="preserve">   → số cổ phiếu suy từ vốn góp</t>
  </si>
  <si>
    <t>Giá cổ phiếu</t>
  </si>
  <si>
    <t>đồng</t>
  </si>
  <si>
    <t>daily_price, giá đóng cửa</t>
  </si>
  <si>
    <t>Ngày giá</t>
  </si>
  <si>
    <t>08/10/2026</t>
  </si>
  <si>
    <t>Cao nhất 52 tuần (giá điều chỉnh cổ tức)</t>
  </si>
  <si>
    <t>daily_price.adjusted_close</t>
  </si>
  <si>
    <t>Thấp nhất 52 tuần (giá điều chỉnh cổ tức)</t>
  </si>
  <si>
    <t>Giá trị giao dịch bình quân 30 phiên</t>
  </si>
  <si>
    <t>triệu đồng/phiên</t>
  </si>
  <si>
    <t>daily_price (giá × khối lượng). RẤT THẤP: Vinamilk và Tổng Công ty Chăn nuôi nắm 68,15%</t>
  </si>
  <si>
    <t>Vốn hoá thị trường</t>
  </si>
  <si>
    <t>giá × cổ phiếu lưu hành</t>
  </si>
  <si>
    <t>B. KẾT QUẢ KINH DOANH THEO NĂM (PostgreSQL, tỷ đồng)</t>
  </si>
  <si>
    <t>Khoản mục</t>
  </si>
  <si>
    <t>2021</t>
  </si>
  <si>
    <t>2022</t>
  </si>
  <si>
    <t>2023</t>
  </si>
  <si>
    <t>2024</t>
  </si>
  <si>
    <t>2025</t>
  </si>
  <si>
    <t>Mã khoản mục / ghi chú</t>
  </si>
  <si>
    <t>Doanh thu thuần</t>
  </si>
  <si>
    <t>GEN_IS_003</t>
  </si>
  <si>
    <t>Lãi gộp</t>
  </si>
  <si>
    <t>GEN_IS_021</t>
  </si>
  <si>
    <t>Chi phí bán hàng</t>
  </si>
  <si>
    <t>GEN_IS_011</t>
  </si>
  <si>
    <t>Chi phí quản lý doanh nghiệp</t>
  </si>
  <si>
    <t>GEN_IS_012</t>
  </si>
  <si>
    <t>LỢI NHUẬN LÕI (EBIT lõi) = lãi gộp − bán hàng − quản lý</t>
  </si>
  <si>
    <t>Không gồm lãi tiền gửi — phần đó cộng riêng bằng số dư tiền ở mọi phương pháp</t>
  </si>
  <si>
    <t>Doanh thu hoạt động tài chính (gần hết là lãi tiền gửi)</t>
  </si>
  <si>
    <t>GEN_IS_004</t>
  </si>
  <si>
    <t>Chi phí tài chính</t>
  </si>
  <si>
    <t>GEN_IS_014</t>
  </si>
  <si>
    <t xml:space="preserve">   trong đó: chi phí lãi vay</t>
  </si>
  <si>
    <t>GEN_IS_015</t>
  </si>
  <si>
    <t>Lợi nhuận khác (thu nhập khác − chi phí khác)</t>
  </si>
  <si>
    <t>GEN_IS_005−017</t>
  </si>
  <si>
    <t>Lợi nhuận trước thuế</t>
  </si>
  <si>
    <t>GEN_IS_027</t>
  </si>
  <si>
    <t>Thuế thu nhập doanh nghiệp</t>
  </si>
  <si>
    <t>GEN_IS_006+007</t>
  </si>
  <si>
    <t>LỢI NHUẬN SAU THUẾ</t>
  </si>
  <si>
    <t>GEN_IS_020</t>
  </si>
  <si>
    <t>Khấu hao tài sản cố định</t>
  </si>
  <si>
    <t>GEN_CF_001</t>
  </si>
  <si>
    <t>Lưu chuyển tiền thuần từ hoạt động kinh doanh</t>
  </si>
  <si>
    <t>GEN_CF_026</t>
  </si>
  <si>
    <t>Chi mua sắm, xây dựng tài sản cố định (âm = tiền ra)</t>
  </si>
  <si>
    <t>GEN_CF_027</t>
  </si>
  <si>
    <t>Cổ tức tiền mặt đã trả (âm = tiền ra)</t>
  </si>
  <si>
    <t>GEN_CF_040</t>
  </si>
  <si>
    <t>Kiểm: lõi + doanh thu tài chính − chi phí tài chính + khác − LNTT</t>
  </si>
  <si>
    <t>Thuế suất thực tế = thuế ÷ lợi nhuận trước thuế</t>
  </si>
  <si>
    <t>Thuế suất phổ thông 20%. Thu nhập chăn nuôi, chế biến nông sản ở địa bàn đặc biệt khó khăn được miễn (TM 34 BCTC 2025, Nghị định 320/2025): 2025 miễn 18,0 tỷ tiền thuế</t>
  </si>
  <si>
    <t>Doanh thu tài chính ÷ lợi nhuận trước thuế</t>
  </si>
  <si>
    <t>Lãi tiền gửi từ 27% (2021) lên 42% LNTT (2025): lợi nhuận lõi giảm, tiền gửi đứng yên</t>
  </si>
  <si>
    <t>C. THEO QUÝ (PostgreSQL, tỷ đồng) — cột H = 12 tháng tới Q2/2026 = năm 2025 kiểm toán − 6T/2025 + 6T/2026</t>
  </si>
  <si>
    <t>Q1/2025</t>
  </si>
  <si>
    <t>Q2/2025</t>
  </si>
  <si>
    <t>Q3/2025</t>
  </si>
  <si>
    <t>Q4/2025</t>
  </si>
  <si>
    <t>Q1/2026</t>
  </si>
  <si>
    <t>Q2/2026</t>
  </si>
  <si>
    <t>12 tháng</t>
  </si>
  <si>
    <t>Từ 2026 áp dụng Thông tư 99: bán bò chuyển từ thu nhập khác sang doanh thu; số cùng kỳ 2025 trong BCTC 2026 đã trình bày lại (lệch DB ~1 tỷ/quý, không đổi LNTT)</t>
  </si>
  <si>
    <t>Q3 thường là quý chi khuyến mãi nặng nhất (Q3/2025: 182 tỷ, LNST chỉ 28 tỷ)</t>
  </si>
  <si>
    <t>LỢI NHUẬN LÕI (EBIT lõi)</t>
  </si>
  <si>
    <t>Doanh thu hoạt động tài chính</t>
  </si>
  <si>
    <t>Chi phí lãi vay</t>
  </si>
  <si>
    <t>D. BẢNG CÂN ĐỐI VÀ THUYẾT MINH (tỷ đồng)</t>
  </si>
  <si>
    <t>31/12/2025</t>
  </si>
  <si>
    <t>30/06/2026</t>
  </si>
  <si>
    <t>Tiền và tương đương tiền</t>
  </si>
  <si>
    <t>GEN_BS_002</t>
  </si>
  <si>
    <t>Tiền gửi có kỳ hạn ngắn hạn (đầu tư giữ đến ngày đáo hạn)</t>
  </si>
  <si>
    <t>GEN_BS_005 — số 31/12/2025 là số ĐÃ PHÂN LOẠI LẠI theo Thông tư 99 (BCTC Q2/2026): gồm 54,1 tỷ lãi dự thu; BCTC 2025 gốc ghi 1.431,0</t>
  </si>
  <si>
    <t>Tiền gửi có kỳ hạn dài hạn</t>
  </si>
  <si>
    <t>GEN_BS_057 — TM 5 BCTC 2025: lãi suất 4,75%–8,2%/năm, không thấy cầm cố</t>
  </si>
  <si>
    <t>Vay ngắn hạn</t>
  </si>
  <si>
    <t>Vietcombank, VietinBank 4–6 tháng, không tài sản đảm bảo; trả hết 6T/2026</t>
  </si>
  <si>
    <t>Vay dài hạn</t>
  </si>
  <si>
    <t>GEN_BS_089</t>
  </si>
  <si>
    <t>TIỀN + TIỀN GỬI</t>
  </si>
  <si>
    <t>Gồm lãi dự thu (Thông tư 99). Khoản tiền còn lại của đợt phát hành 2021 dành cho hai dự án: 685,0 tỷ cuối 2025 (mục G)</t>
  </si>
  <si>
    <t>Tổng nợ vay</t>
  </si>
  <si>
    <t>TIỀN RÒNG = tiền + tiền gửi − nợ vay</t>
  </si>
  <si>
    <t>Dùng 30/06/2026 ở mọi phương pháp. Cổ tức đợt 1/2026 (1.000đ/cp, thường chi tháng 11) chưa trừ — nằm trong lợi nhuận năm 2026</t>
  </si>
  <si>
    <t>VỐN CHỦ SỞ HỮU</t>
  </si>
  <si>
    <t>GEN_BS_095 — không có cổ đông thiểu số</t>
  </si>
  <si>
    <t>Xây dựng dở dang: tổ hợp trang trại bò sữa 4.000 con</t>
  </si>
  <si>
    <t>TM 15 BCTC bán niên soát xét 2026 (tổng 459,3 khớp bảng cân đối); cột 31/12/2025 = TM 12 BCTC 2025</t>
  </si>
  <si>
    <t>Xây dựng dở dang: nhà máy sữa công nghệ cao</t>
  </si>
  <si>
    <t>Xây dựng dở dang: máy móc, công trình khác</t>
  </si>
  <si>
    <t>Tổng xây dựng dở dang</t>
  </si>
  <si>
    <t>Kiểm chéo: xây dựng dở dang trong DB (GEN_BS_051)</t>
  </si>
  <si>
    <t>VỐN HOẠT ĐỘNG LÕI = vốn chủ − tiền ròng − xây dựng dở dang</t>
  </si>
  <si>
    <t>Phần vốn thực sự làm ra lợi nhuận lõi — chỉ ~460 tỷ vì nhà máy cũ đã khấu hao gần hết (610,7 tỷ nguyên giá khấu hao hết vẫn dùng, TM 10 BCTC 2025)</t>
  </si>
  <si>
    <t>GIÁ TRỊ SỔ SÁCH MỖI CỔ PHIẾU 30/06/2026 (đồng)</t>
  </si>
  <si>
    <t>E. DOANH THU THEO NHÓM VÀ BÁN CHO VINAMILK (BCTN, thuyết minh bên liên quan — DB không có)</t>
  </si>
  <si>
    <t>6T/2025</t>
  </si>
  <si>
    <t>6T/2026</t>
  </si>
  <si>
    <t>Sữa thành phẩm (thương hiệu Mộc Châu)</t>
  </si>
  <si>
    <t>Sữa nguyên liệu (bán thô)</t>
  </si>
  <si>
    <t>Thức ăn chăn nuôi và TMR</t>
  </si>
  <si>
    <t>Gia công (sữa thanh trùng hộp giấy cho Vinamilk)</t>
  </si>
  <si>
    <t>Nhóm khác</t>
  </si>
  <si>
    <t>Cộng theo nhóm (kiểm với doanh thu thuần)</t>
  </si>
  <si>
    <t>BCTN 2025 tr.68; BCTN 2024 tr.59. Công ty không công bố số 6 tháng theo nhóm</t>
  </si>
  <si>
    <t>Doanh thu thuần (mục B, C)</t>
  </si>
  <si>
    <t>V = Bán hàng cho Vinamilk (công ty mẹ cấp cao nhất)</t>
  </si>
  <si>
    <t>TM bên liên quan: 2025 bán hàng hóa 668,08 tỷ (TM 36 BCTC 2025); 2024 572,62 + dịch vụ 0,21; 6T/2026 = 327,44 theo TM 39 BCTC bán niên SOÁT XÉT (bản Q2 tự lập ghi 327,41). ≈ sữa nguyên liệu + gia công. Q1/2025 168,2; Q1/2026 183,7 (BCTC quý 1)</t>
  </si>
  <si>
    <t>B = Phần còn lại = doanh thu − V (thương hiệu + thức ăn chăn nuôi + khác)</t>
  </si>
  <si>
    <t>Gánh toàn bộ chi phí bán hàng (khuyến mãi, quảng cáo cho hàng thương hiệu)</t>
  </si>
  <si>
    <t>Tỷ trọng bán cho Vinamilk trong doanh thu</t>
  </si>
  <si>
    <t>B 6T/2026 so 6T/2025</t>
  </si>
  <si>
    <t>Sau hai năm giảm (sữa thành phẩm 2.273 → 1.722 tỷ), phần còn lại tăng lại từ Q1/2026</t>
  </si>
  <si>
    <t>F. LỊCH SỬ ROE 2018–2025 (ROE = LNST ÷ vốn chủ bình quân đầu và cuối năm)</t>
  </si>
  <si>
    <t>Năm</t>
  </si>
  <si>
    <t>Vốn chủ cuối năm</t>
  </si>
  <si>
    <t>LNST</t>
  </si>
  <si>
    <t>Vốn chủ bình quân</t>
  </si>
  <si>
    <t>ROE</t>
  </si>
  <si>
    <t>Năm Vinamilk vào điều hành (mua lại qua Tổng Công ty Chăn nuôi)</t>
  </si>
  <si>
    <t>Phát hành 43,2 triệu cổ phiếu thu 1.249,3 tỷ → vốn chủ gấp đôi, tiền gửi phình</t>
  </si>
  <si>
    <t>LNST −41%: giá thu mua sữa tăng 7–8%, sức mua yếu (KBSV)</t>
  </si>
  <si>
    <t>Đáy: sữa thành phẩm −9,3%</t>
  </si>
  <si>
    <t>ROE 12 tháng tới Q2/2026 (vốn chủ bình quân 30/06/2025 và 30/06/2026)</t>
  </si>
  <si>
    <t>ROE bình quân 2022–2025 (sau đợt phát hành, tiền gửi lớn)</t>
  </si>
  <si>
    <t>Trước 2021 vốn chủ chỉ ~770 tỷ nên ROE 20%+; sau đợt phát hành ~43% tài sản là tiền gửi lãi 5–8% → ROE bị kéo về ~10–16%</t>
  </si>
  <si>
    <t>ROE bình quân 2018–2025</t>
  </si>
  <si>
    <t>ROE trung vị 2018–2025</t>
  </si>
  <si>
    <t>G. HAI DỰ ÁN VÀ NGUỒN TIỀN — dữ kiện (giả định dự án nằm ở 06_Dự án)</t>
  </si>
  <si>
    <t>Tổ hợp trang trại sinh thái, bò sữa 4.000 con: tổng vốn công bố</t>
  </si>
  <si>
    <t>BCTN 2023 tr.88–89, BCTN 2024 tr.65, BCTN 2025 tr.73. Báo Sơn La 09/09/2025 vẫn ghi 1.000 tỷ — chưa giải thích được chênh</t>
  </si>
  <si>
    <t xml:space="preserve">   lúc khởi công 28/05/2022: phần trang trại bò sữa</t>
  </si>
  <si>
    <t>Báo Đầu Tư, VnBusiness 31/05/2022: hạng mục 1.000 tỷ/150 ha = trang trại 4.000 con 700 tỷ + khu du lịch, đồng cỏ 300 tỷ. Vinamilk Quảng Ngãi 4.000 con cũng 700 tỷ</t>
  </si>
  <si>
    <t xml:space="preserve">   lúc khởi công 28/05/2022: phần khu du lịch, cảnh quan đồng cỏ</t>
  </si>
  <si>
    <t>Như trên. ĐHĐCĐ 20/04/2026: chủ tịch nói đã cân nhắc bỏ khách sạn, giải trí để tập trung vốn sản xuất; xem xét Bảo tàng Sữa, cửa hàng flagship (biên bản tr.5)</t>
  </si>
  <si>
    <t xml:space="preserve">   sản lượng thiết kế</t>
  </si>
  <si>
    <t>triệu lít/năm</t>
  </si>
  <si>
    <t>Báo Đầu Tư 31/05/2022; KBSV 22/05/2026 (20 nghìn tấn). Trại 2.000 con hiện có = 11 triệu lít/năm (Giấy phép môi trường 151/GPMT-BTNMT) → 4.000 con ≈ 22</t>
  </si>
  <si>
    <t xml:space="preserve">   lịch vận hành (công bố)</t>
  </si>
  <si>
    <t>SX thử Q4/2026, chính thức Q2/2027</t>
  </si>
  <si>
    <t>Bản tin NĐT Q2/2026 bản cập nhật 30/07/2026 (BCTN 2025 và ĐHĐCĐ 20/04/2026 còn nói Q3/2026). Xây dựng 97%, đang lắp máy, nhập gian vắt sữa (Báo Sơn La 07/05/2026); ≥15 vị trí lệch quy hoạch</t>
  </si>
  <si>
    <t xml:space="preserve">   tài sản cố định mua của Lao-Jagro (Vinamilk sở hữu 92,07%) 6T/2026</t>
  </si>
  <si>
    <t>NQ 15/NQ-HĐQT 25/02/2026: Lao-Jagro BÁN TÀI SẢN CỐ ĐỊNH, 1.557.939 USD. Nguyên giá TSCĐ 6T chỉ +7,2 tỷ, tài sản sinh học không có dòng mua → nằm trong xây dựng dở dang trang trại (suy ra, chưa xác nhận)</t>
  </si>
  <si>
    <t>Nhà máy sữa công nghệ cao: tổng vốn hai giai đoạn</t>
  </si>
  <si>
    <t>Báo Chính phủ 30/05/2022, BCTN 2024. 26 ha. Giai đoạn 1 ~500 tấn/ngày, giai đoạn 2 lên 1.000 tấn/ngày</t>
  </si>
  <si>
    <t xml:space="preserve">   giai đoạn 1 (chủ trương cũ 2022–2025)</t>
  </si>
  <si>
    <t>Báo Sơn La 09/09/2025, Sơn La TV 17/07/2024. Công ty xin gia hạn tới Q4/2027 (09/2025); QĐ 2932/QĐ-UBND 19/11/2025 điều chỉnh chủ trương — CHƯA có toàn văn</t>
  </si>
  <si>
    <t xml:space="preserve">   giai đoạn 2 (chủ trương cũ 2029–2030)</t>
  </si>
  <si>
    <t>Báo Sơn La 09/09/2025</t>
  </si>
  <si>
    <t>Q4/2027</t>
  </si>
  <si>
    <t>Bản tin NĐT Q2/2026. Giải phóng mặt bằng 82% (hộ nhà kiên cố chưa chịu đền bù). Chủ tịch ĐHĐCĐ 20/04/2026: "2,3 năm tới vẫn đáp ứng", "công suất đạt 70% sẽ phải xây nhà máy mới"</t>
  </si>
  <si>
    <t xml:space="preserve">   tiền phát hành đã chi cho nhà máy đến 18/08/2026</t>
  </si>
  <si>
    <t>Báo cáo sử dụng vốn 80/BC/MCM-2026: 31,4 tỷ (18/02/2026) → 31,9 tỷ (18/08/2026) — gần như chưa xây</t>
  </si>
  <si>
    <t>Nhà máy hiện tại: công suất</t>
  </si>
  <si>
    <t>tấn/ngày</t>
  </si>
  <si>
    <t>BCTN 2024, 2025: hết đất mở rộng, nhà xưởng xuống cấp</t>
  </si>
  <si>
    <t>Tiền phát hành đã chi cho trang trại đến 18/08/2026</t>
  </si>
  <si>
    <t>Báo cáo sử dụng vốn 80/BC/MCM-2026 (323,3 tỷ ngày 18/02/2026)</t>
  </si>
  <si>
    <t>Tiền còn lại của đợt phát hành 2021 cho các dự án (18/08/2026)</t>
  </si>
  <si>
    <t>Báo cáo sử dụng vốn 80/BC/MCM-2026. Tổng mức đầu tư theo phương án 2020: 1.600 tỷ, thiếu bù bằng vốn tự có hoặc vay</t>
  </si>
  <si>
    <t>Thuế nhà đất và tiền thuê đất phát sinh 6T/2026</t>
  </si>
  <si>
    <t>TM 18 BCTC bán niên soát xét; cả năm 2025 chỉ 7,51 tỷ (TM 19 BCTC 2025) — có thể bắt đầu tính tiền thuê đất dự án (chưa xác nhận). Cam kết thuê hoạt động 744 tỷ (TM 24 BCTC 2025)</t>
  </si>
  <si>
    <t>Kế hoạch thu mua sữa nông hộ 2025</t>
  </si>
  <si>
    <t>nghìn tấn</t>
  </si>
  <si>
    <t>VOV 22/05/2025: giảm 1.300 tấn so 2024; 25.800 con, hơn 500 hộ; 4T/2025 mua 28,5 nghìn tấn; nguy cơ dư sữa vì hộ tự tăng đàn</t>
  </si>
  <si>
    <t>H. PHÂN PHỐI LỢI NHUẬN, KẾ HOẠCH, BỘI SỐ LỊCH SỬ</t>
  </si>
  <si>
    <t>Trích quỹ khen thưởng phúc lợi từ lợi nhuận 2025</t>
  </si>
  <si>
    <t>TM 18, 20 BCTC 2025 (2024: 21,99 tỷ) — đúng 10% LNST</t>
  </si>
  <si>
    <t>Cổ tức tiền mặt mỗi năm 2022–2025</t>
  </si>
  <si>
    <t>đồng/cổ phiếu</t>
  </si>
  <si>
    <t>1.000đ tạm ứng tháng 11 + 1.000đ tháng 5 năm sau = 220 tỷ/năm, cao hơn LNST sau quỹ 2025 (194 tỷ)</t>
  </si>
  <si>
    <t>Tỷ lệ cổ tức về Vinamilk + Tổng Công ty Chăn nuôi</t>
  </si>
  <si>
    <t>TM 21 BCTC 2025: 59,30% + 8,85%. Cổ đông khác 31,85%</t>
  </si>
  <si>
    <t>Chính sách cổ tức tiền mặt năm 2026</t>
  </si>
  <si>
    <t>tối thiểu 50% LNST</t>
  </si>
  <si>
    <t>Nghị quyết ĐHĐCĐ 20/04/2026 (vấn đề 9); HĐQT quyết tạm ứng. Năm 2025 đã chia 20% = 220 tỷ</t>
  </si>
  <si>
    <t>Kế hoạch 2026: doanh thu thuần</t>
  </si>
  <si>
    <t>ĐHĐCĐ 2026 (Bản tin NĐT Q2/2026); 6T đạt 48%</t>
  </si>
  <si>
    <t>Kế hoạch 2026: LNST</t>
  </si>
  <si>
    <t>6T/2026 đạt 69,9% (168,6 tỷ)</t>
  </si>
  <si>
    <t>Lãi tiền gửi 2025</t>
  </si>
  <si>
    <t>TM 27 BCTC 2025 (2024: 96,73)</t>
  </si>
  <si>
    <t>Tiền + tiền gửi đầu năm 2025</t>
  </si>
  <si>
    <t>BCTC 2025: 36,27 + 1.603,0</t>
  </si>
  <si>
    <t>Tiền + tiền gửi cuối năm 2025 (BCTC gốc, chưa gộp lãi dự thu)</t>
  </si>
  <si>
    <t>36,95 + 1.431,0 + 25,0</t>
  </si>
  <si>
    <t xml:space="preserve">   → lãi suất tiền gửi bình quân 2025</t>
  </si>
  <si>
    <t>P/E trung vị MCM từ khi lên HOSE (14/06/2024)</t>
  </si>
  <si>
    <t>lần</t>
  </si>
  <si>
    <t>daily_valuation (Vietcap), P/E 12 tháng trên LNST CẢ lãi tiền gửi; tứ phân vị 13,0–15,0</t>
  </si>
  <si>
    <t>P/B trung vị MCM từ 14/06/2024</t>
  </si>
  <si>
    <t>daily_valuation</t>
  </si>
  <si>
    <t>Ô nền xanh lá chữ xanh dương là NHẬN ĐỊNH — sửa là cả model chạy lại. Cột 'Mốc thực tế' lấy thẳng từ 01 để thấy giả định đặt ở đâu so với số thật. Giả định hai dự án nằm ở 06_Dự án.</t>
  </si>
  <si>
    <t>Tham số</t>
  </si>
  <si>
    <t>Căn cứ</t>
  </si>
  <si>
    <t>Lợi suất phi rủi ro (Rf)</t>
  </si>
  <si>
    <t>Phần bù rủi ro thị trường (ERP) — cách rút gọn của công ty chứng khoán</t>
  </si>
  <si>
    <t>β phần kinh doanh hiện tại (đã bỏ phần tiền)</t>
  </si>
  <si>
    <t>β hai dự án mới</t>
  </si>
  <si>
    <t>TỰ ĐẶT. Dự án làm chi phí cố định tăng (khấu hao trang trại ~40 tỷ + nhà máy ~37 tỷ/năm) và nghiêng hàng cao cấp (Creamery) — nhạy với chu kỳ hơn kinh doanh hiện tại. Rủi ro chậm, kẹt đất KHÔNG đưa vào đây (đã ở kịch bản xấu 06)</t>
  </si>
  <si>
    <t>LỢI SUẤT YÊU CẦU PHẦN KINH DOANH HIỆN TẠI (r) = Rf + β × ERP</t>
  </si>
  <si>
    <t>LỢI SUẤT YÊU CẦU HAI DỰ ÁN = Rf + β dự án × ERP</t>
  </si>
  <si>
    <t>Chiết khấu dòng tiền dự án ở 06/03</t>
  </si>
  <si>
    <t>Tăng trưởng dài hạn (g)</t>
  </si>
  <si>
    <t>Dùng cho P/B theo ROE, giá trị cuối kỳ DCF và cổ tức. Lạm phát 9T/2026 4,52% — phép thử g 4% không đặt sẵn</t>
  </si>
  <si>
    <t>Trích quỹ khen thưởng phúc lợi (% LNST)</t>
  </si>
  <si>
    <t>2024, 2025 đều đúng 10% (01 mục H). Tiền ra khỏi tay cổ đông trước cổ tức</t>
  </si>
  <si>
    <t>Thuế trên lãi tiền gửi</t>
  </si>
  <si>
    <t>Thuế suất phổ thông; phần miễn thuế chỉ áp cho thu nhập chăn nuôi, chế biến nông sản (TM 34 BCTC 2025)</t>
  </si>
  <si>
    <t>Lãi suất vay khi tiền âm (chỉ dùng ở phương pháp 3)</t>
  </si>
  <si>
    <t>Cổ tức tạm ứng đợt 1/2026 dự kiến (đồng/cp, khoảng tháng 11/2026)</t>
  </si>
  <si>
    <t>Lãi tiền gửi tham chiếu của nhà đầu tư (khoản lớn, thực nhận)</t>
  </si>
  <si>
    <t xml:space="preserve">   1. P/E lợi nhuận lõi + tiền + dự án</t>
  </si>
  <si>
    <t xml:space="preserve">   2. DCF phần lõi + tiền + dự án</t>
  </si>
  <si>
    <t xml:space="preserve">   3. Chiết khấu cổ tức (DDM)</t>
  </si>
  <si>
    <t xml:space="preserve">   4. P/B theo ROE</t>
  </si>
  <si>
    <t xml:space="preserve">   5. EV/EBITDA lõi + tiền + dự án</t>
  </si>
  <si>
    <t>Tổng trọng số (phải bằng 100%)</t>
  </si>
  <si>
    <t>B. ĐỘNG CƠ LỢI NHUẬN LÕI — hiệu chỉnh trên 12 tháng tới Q2/2026 (dùng chung PP 1, 2, 3, 5)</t>
  </si>
  <si>
    <t>Cách tính / căn cứ</t>
  </si>
  <si>
    <t>V 12 tháng = bán cho Vinamilk (2025 − 6T/2025 + 6T/2026)</t>
  </si>
  <si>
    <t>Thuyết minh bên liên quan, 01 mục E</t>
  </si>
  <si>
    <t>Doanh thu thuần 12 tháng</t>
  </si>
  <si>
    <t>B 12 tháng = doanh thu − V</t>
  </si>
  <si>
    <t>Thương hiệu + thức ăn chăn nuôi + khác</t>
  </si>
  <si>
    <t>Lãi gộp 12 tháng</t>
  </si>
  <si>
    <t>Chi phí bán hàng 12 tháng</t>
  </si>
  <si>
    <t>Chi phí quản lý 12 tháng</t>
  </si>
  <si>
    <t>EBIT lõi 12 tháng</t>
  </si>
  <si>
    <t xml:space="preserve">   Hồi quy lãi gộp 2023–2025 theo V và B (không hệ số chặn): biên của V</t>
  </si>
  <si>
    <t>Ra số ÂM — vô lý: hồi quy 3 điểm lẫn cả việc giá thu mua sữa tăng 7–8% năm 2024 (KBSV). Chỉ cho biết biên của V THẤP, không đo được bao nhiêu</t>
  </si>
  <si>
    <t xml:space="preserve">   Hồi quy như trên: biên của B</t>
  </si>
  <si>
    <t>BIÊN GỘP CỦA PHẦN BÁN CHO VINAMILK (mV) DÙNG TRONG MODEL</t>
  </si>
  <si>
    <t>Biên gộp của B 12 tháng = (lãi gộp − mV × V) ÷ B</t>
  </si>
  <si>
    <t>Chi phí bán hàng ÷ B, 12 tháng</t>
  </si>
  <si>
    <t xml:space="preserve">   Cùng cách tính các kỳ trước:</t>
  </si>
  <si>
    <t xml:space="preserve">      biên gộp của B</t>
  </si>
  <si>
    <t xml:space="preserve">      chi phí bán hàng ÷ B</t>
  </si>
  <si>
    <t>6T/2026 khuyến mãi giảm, biên gộp tăng — giải trình công ty: "thay đổi cơ cấu doanh thu"</t>
  </si>
  <si>
    <t>Lãi sau chi phí bán hàng trên 100 đồng doanh thu: B so với V</t>
  </si>
  <si>
    <t>Kiểm: mV × V + (biên B − CPBH/B) × B − quản lý = EBIT lõi 12 tháng</t>
  </si>
  <si>
    <t>Chi phí quản lý năm chuẩn hoá (tỷ)</t>
  </si>
  <si>
    <t>12 tháng 37,7 tỷ; 2025 38,1 tỷ; cộng lạm phát</t>
  </si>
  <si>
    <t>Khấu hao năm chuẩn hoá = 6 tháng 2026 × 2 (chỉ dùng cho EBITDA)</t>
  </si>
  <si>
    <t>Thuế suất trên lợi nhuận lõi, 12 tháng (lãi tài chính ròng chịu 20%)</t>
  </si>
  <si>
    <t xml:space="preserve">   cùng cách tính cho năm 2025</t>
  </si>
  <si>
    <t>Giả định lãi tiền gửi chịu đủ 20%, phần miễn thuế rơi hết vào lợi nhuận lõi</t>
  </si>
  <si>
    <t>Vốn hoạt động lõi 30/06/2026 (01 mục D)</t>
  </si>
  <si>
    <t>ROIC lõi 12 tháng = EBIT lõi × (1 − thuế lõi) ÷ vốn hoạt động lõi</t>
  </si>
  <si>
    <t>Rất cao vì nhà máy cũ đã khấu hao gần hết — chính là lý do phải xây nhà máy mới</t>
  </si>
  <si>
    <t>EBIT lõi tăng thêm mỗi quý: (6T/2026 − 6T/2025) ÷ 2</t>
  </si>
  <si>
    <t>MỐC KIỂM: LNST Q3/2026 = Q3/2025 + mức tăng × (1 − thuế) (tỷ)</t>
  </si>
  <si>
    <t>B = giữ đúng đà 6 tháng · C = còn một nửa · D = mạnh gấp rưỡi. Q3/2025 là quý xấu nhất 2025 (LNST 28 tỷ, khuyến mãi 182 tỷ). BCTC Q3 ra cuối tháng 10/2026</t>
  </si>
  <si>
    <t>C. BA KỊCH BẢN (năm chuẩn hoá ~2027, trước khi dự án có lãi — không phải dự phóng một năm)</t>
  </si>
  <si>
    <t>Mốc thực tế</t>
  </si>
  <si>
    <t>ĐỘNG CƠ LÕI (phương pháp 1, 2, 3, 5)</t>
  </si>
  <si>
    <t>B — doanh thu phần còn lại (tỷ)</t>
  </si>
  <si>
    <t>Mốc = 12 tháng. 6T/2026 +12,8% so cùng kỳ; 2026 chạy đà ~2.390. Xấu = mức 2025 (2.167) nếu Creamery không cất cánh; Tốt = mức 2023 (2.710). Kế hoạch 2026 doanh thu 3.126 tỷ ≈ B 2.470</t>
  </si>
  <si>
    <t>V — bán cho Vinamilk (tỷ)</t>
  </si>
  <si>
    <t>Bò vẫn cho sữa mỗi ngày: hàng thương hiệu bán chậm thì sữa dư dồn sang V. 2025: 668; 6T/2026 −8,6%</t>
  </si>
  <si>
    <t>Biên gộp của B: chênh so 12 tháng (điểm %)</t>
  </si>
  <si>
    <t>Mốc = 6T/2026 − 12 tháng. Giá thu mua sữa, thức ăn (ngô, khô đậu +21–25% so cùng kỳ tháng 9/2026) và cơ cấu sản phẩm</t>
  </si>
  <si>
    <t>Chi phí bán hàng ÷ B</t>
  </si>
  <si>
    <t>2024–2025 28%; 6T/2026 25%; 12 tháng 27,3%. Đẩy Creamery vào miền Nam tốn khuyến mãi</t>
  </si>
  <si>
    <t>Thuế suất trên lợi nhuận lõi</t>
  </si>
  <si>
    <t>Mốc = 12 tháng. 2025: xem 02 mục B. Ưu đãi Nghị định 320/2025 có điều kiện (nguyên liệu nông sản ≥ 30% giá thành)</t>
  </si>
  <si>
    <t>Tăng trưởng B mỗi năm 2027–2031 (PP 2, 3)</t>
  </si>
  <si>
    <t>Ngành sữa tăng thấp (−1% đến 3%/năm theo KBSV); Creamery là biến số</t>
  </si>
  <si>
    <t>BỘI SỐ (phương pháp 1, 5) — dùng chung ba kịch bản</t>
  </si>
  <si>
    <t>P/E trên lợi nhuận lõi sau thuế và quỹ</t>
  </si>
  <si>
    <t>EV/EBITDA lõi</t>
  </si>
  <si>
    <t>Bội số Vinasoy quy ra ~6,6x; ≈ EV/EBITDA cơ bản ở r mới (05 mục A). Vietcap ghi 10,8x nhưng KHÔNG trừ tiền gửi có kỳ hạn — không so thẳng</t>
  </si>
  <si>
    <t>PHƯƠNG PHÁP 4 — P/B theo ROE (không qua động cơ lõi)</t>
  </si>
  <si>
    <t>ROE chu kỳ, trước trích quỹ</t>
  </si>
  <si>
    <t>Mốc = bình quân 2022–2025 (sau đợt phát hành). 2024–2025 9,4–9,5%; 12 tháng 11,3%. Tính trên vốn chủ GỒM tiền gửi — coi tiền nằm lại công ty mãi, nên khắt khe hơn PP 1</t>
  </si>
  <si>
    <t>CỔ TỨC VÀ TIỀN (phương pháp 3) — hai dự án: xem 06_Dự án</t>
  </si>
  <si>
    <t>Cổ tức tiền mặt 2027–2031 (đồng/cổ phiếu)</t>
  </si>
  <si>
    <t>Chính sách 2026: tối thiểu 50% LNST (ĐHĐCĐ 20/04/2026) ≈ 1.000đ ở kế hoạch 241 tỷ → Xấu. 2022–2025 trả 2.000đ → Tốt. Cơ sở 1.500đ = 165 tỷ/năm — TỰ ĐẶT. Tiền âm thì phải vay (lãi suất ở mục A)</t>
  </si>
  <si>
    <t>Lãi suất tiền gửi</t>
  </si>
  <si>
    <t>XÁC SUẤT</t>
  </si>
  <si>
    <t>Mặc định đối xứng — chưa có lý do nghiêng</t>
  </si>
  <si>
    <t>Tổng xác suất (phải bằng 100%)</t>
  </si>
  <si>
    <t>Đối chứng: không đổi gì (phải ra đúng cơ sở)</t>
  </si>
  <si>
    <t>Không xây nhà máy trong 5 năm — MỨC TRẦN (coi nhà máy cũ chạy mãi không tốn thêm)</t>
  </si>
  <si>
    <t>Nhà máy chạy từ 2028 (lịch công ty: xong Q4/2027)</t>
  </si>
  <si>
    <t>Sữa trang trại bán thô 13.000 đ/lít</t>
  </si>
  <si>
    <t>Chi phí nuôi 11.500 đ/lít</t>
  </si>
  <si>
    <t>ERP 10% (VDSC, cận trên)</t>
  </si>
  <si>
    <t>β phần kinh doanh 0,85 (bằng dự án)</t>
  </si>
  <si>
    <t>Cổ tức 1.000đ/cp (tối thiểu 50% LNST)</t>
  </si>
  <si>
    <t>B về mức 2025 (Creamery không cất cánh)</t>
  </si>
  <si>
    <t>B về mức 2023</t>
  </si>
  <si>
    <t>Chi phí bán hàng ÷ B = mức 12 tháng</t>
  </si>
  <si>
    <t>P/E lõi = P/E trung vị lịch sử MCM</t>
  </si>
  <si>
    <t>Biên gộp B giữ mức 6T/2026</t>
  </si>
  <si>
    <t>β phần kinh doanh 0,65</t>
  </si>
  <si>
    <t>Chỉ tiêu (tỷ đồng)</t>
  </si>
  <si>
    <t>T0</t>
  </si>
  <si>
    <t>T1</t>
  </si>
  <si>
    <t>T2</t>
  </si>
  <si>
    <t>T3</t>
  </si>
  <si>
    <t>T4</t>
  </si>
  <si>
    <t>T5</t>
  </si>
  <si>
    <t>T6</t>
  </si>
  <si>
    <t>T7</t>
  </si>
  <si>
    <t>T8</t>
  </si>
  <si>
    <t>T9</t>
  </si>
  <si>
    <t>T10</t>
  </si>
  <si>
    <t>T11</t>
  </si>
  <si>
    <t>T12</t>
  </si>
  <si>
    <t>T13</t>
  </si>
  <si>
    <t>T14</t>
  </si>
  <si>
    <t>P. THAM SỐ — cột Xấu/Cơ sở/Tốt lấy từ 02 và 06; cột phép thử = Cơ sở, trừ một ô nền xanh</t>
  </si>
  <si>
    <t>B — doanh thu phần còn lại</t>
  </si>
  <si>
    <t>V — bán cho Vinamilk</t>
  </si>
  <si>
    <t>Biên gộp B: chênh so 12 tháng</t>
  </si>
  <si>
    <t>Thuế suất lõi</t>
  </si>
  <si>
    <t>Tăng trưởng B 2027–2031</t>
  </si>
  <si>
    <t>ROE chu kỳ</t>
  </si>
  <si>
    <t>Cổ tức 2027–2031 (đồng/cp)</t>
  </si>
  <si>
    <t>Trang trại: vốn phần bò sữa</t>
  </si>
  <si>
    <t>Trang trại: vốn phần du lịch</t>
  </si>
  <si>
    <t>Trang trại: triệu lít/năm khi đủ đàn</t>
  </si>
  <si>
    <t>Trang trại: sản lượng 2027</t>
  </si>
  <si>
    <t>Trang trại: giá bán (đ/lít)</t>
  </si>
  <si>
    <t>Trang trại: chi phí tiền mặt (đ/lít)</t>
  </si>
  <si>
    <t>Trang trại: thu thêm bê, bò loại</t>
  </si>
  <si>
    <t>Trang trại: chi duy trì</t>
  </si>
  <si>
    <t>Trang trại: năm khấu hao</t>
  </si>
  <si>
    <t>Du lịch: lãi trước thuế từ 2028</t>
  </si>
  <si>
    <t>Nhà máy: có xây trong 5 năm</t>
  </si>
  <si>
    <t>Nhà máy: vốn giai đoạn 1</t>
  </si>
  <si>
    <t>Nhà máy: năm bắt đầu có lãi</t>
  </si>
  <si>
    <t>Nhà máy: lãi tăng thêm sau thuế</t>
  </si>
  <si>
    <t>Lợi suất phi rủi ro</t>
  </si>
  <si>
    <t>Phần bù rủi ro thị trường</t>
  </si>
  <si>
    <t>β phần kinh doanh hiện tại</t>
  </si>
  <si>
    <t>β hai dự án</t>
  </si>
  <si>
    <t>Tăng trưởng dài hạn g</t>
  </si>
  <si>
    <t>Trích quỹ khen thưởng phúc lợi</t>
  </si>
  <si>
    <t>Lãi suất vay khi tiền âm</t>
  </si>
  <si>
    <t>Cổ tức tạm ứng đợt 1/2026 (đồng/cp)</t>
  </si>
  <si>
    <t>Biên gộp phần bán cho Vinamilk</t>
  </si>
  <si>
    <t>Biên gộp B 12 tháng</t>
  </si>
  <si>
    <t>Chi phí quản lý chuẩn hoá</t>
  </si>
  <si>
    <t>Khấu hao chuẩn hoá</t>
  </si>
  <si>
    <t>LỢI SUẤT YÊU CẦU PHẦN LÕI r = Rf + β × ERP</t>
  </si>
  <si>
    <t>A. LỢI NHUẬN LÕI CHUẨN HOÁ — tách bán cho Vinamilk (V) khỏi phần còn lại (B)</t>
  </si>
  <si>
    <t>Biên gộp của B = 12 tháng + chênh</t>
  </si>
  <si>
    <t>Lãi gộp = mV × V + biên B × B</t>
  </si>
  <si>
    <t>Chi phí bán hàng = CPBH/B × B</t>
  </si>
  <si>
    <t>Hàng bán cho Vinamilk không tốn khuyến mãi</t>
  </si>
  <si>
    <t>EBIT LÕI = lãi gộp − bán hàng − quản lý</t>
  </si>
  <si>
    <t>12 tháng tới Q2/2026 (02 mục B, theo năm 2025 kiểm toán); 2023: 261,8; 2025: 152,3</t>
  </si>
  <si>
    <t>Lợi nhuận lõi sau thuế</t>
  </si>
  <si>
    <t>LỢI NHUẬN LÕI THUỘC CỔ ĐÔNG (sau quỹ khen thưởng phúc lợi)</t>
  </si>
  <si>
    <t xml:space="preserve">   mỗi cổ phiếu (đồng)</t>
  </si>
  <si>
    <t>EBITDA lõi = EBIT lõi + khấu hao</t>
  </si>
  <si>
    <t>Vốn hoạt động lõi 30/06/2026</t>
  </si>
  <si>
    <t>ROIC lõi</t>
  </si>
  <si>
    <t>B. HAI DỰ ÁN — năm đủ công suất (giả định ở 06_Dự án; dòng tiền từng năm ở mục D, giá trị ở mục B2)</t>
  </si>
  <si>
    <t>Trang trại: tổng vốn theo kịch bản = phần bò sữa + phần du lịch</t>
  </si>
  <si>
    <t>Trang trại: còn phải chi sau 30/06/2026 (dồn vào 2027)</t>
  </si>
  <si>
    <t>Phần đã ghi sổ là chi phí chìm</t>
  </si>
  <si>
    <t>Trang trại: doanh thu khi đủ đàn = triệu lít × giá × (1 + thu thêm) ÷ 1.000</t>
  </si>
  <si>
    <t xml:space="preserve">   lãi trước khấu hao = doanh thu − triệu lít × chi phí ÷ 1.000</t>
  </si>
  <si>
    <t xml:space="preserve">   khấu hao phần bò sữa</t>
  </si>
  <si>
    <t xml:space="preserve">   lãi kế toán (thu nhập chăn nuôi miễn thuế)</t>
  </si>
  <si>
    <t xml:space="preserve">   tiền thu về = lãi trước khấu hao − chi duy trì</t>
  </si>
  <si>
    <t xml:space="preserve">   lãi trên vốn phần bò sữa</t>
  </si>
  <si>
    <t>Du lịch: lãi sau thuế 20% từ 2028</t>
  </si>
  <si>
    <t>Nhà máy: vốn còn phải chi</t>
  </si>
  <si>
    <t>Không xây thì 31 tỷ dở dang mất trắng (đã là chi phí chìm)</t>
  </si>
  <si>
    <t xml:space="preserve">   lãi tăng thêm ÷ vốn</t>
  </si>
  <si>
    <t>Hệ số dòng tiền đều 20 năm sau 2031 ở lợi suất dự án</t>
  </si>
  <si>
    <t>D. DÒNG TIỀN 2027–2031 — lõi (phương pháp 2), hai dự án (B2), tiền ròng và cổ tức (phương pháp 3)</t>
  </si>
  <si>
    <t>Năm 1 — 2027</t>
  </si>
  <si>
    <t xml:space="preserve">   B</t>
  </si>
  <si>
    <t xml:space="preserve">   EBIT lõi</t>
  </si>
  <si>
    <t xml:space="preserve">   lợi nhuận lõi sau thuế</t>
  </si>
  <si>
    <t xml:space="preserve">   tái đầu tư lõi = tăng trưởng B × vốn hoạt động</t>
  </si>
  <si>
    <t xml:space="preserve">   dòng tiền tự do phần lõi = lõi × (1 − quỹ) − tái đầu tư</t>
  </si>
  <si>
    <t xml:space="preserve">   hiện giá dòng tiền phần lõi ở r</t>
  </si>
  <si>
    <t xml:space="preserve">   chi trang trại</t>
  </si>
  <si>
    <t xml:space="preserve">   chi nhà máy (50% hai năm trước năm có lãi; có lãi 2028 thì dồn vào 2027)</t>
  </si>
  <si>
    <t xml:space="preserve">   chi hai dự án</t>
  </si>
  <si>
    <t xml:space="preserve">   lãi kế toán trang trại + du lịch</t>
  </si>
  <si>
    <t xml:space="preserve">   lãi tăng thêm nhà máy</t>
  </si>
  <si>
    <t xml:space="preserve">   lãi kế toán hai dự án</t>
  </si>
  <si>
    <t xml:space="preserve">   dòng tiền trang trại + du lịch = tiền thu − quỹ × lãi − chi</t>
  </si>
  <si>
    <t xml:space="preserve">   dòng tiền nhà máy = lãi × (1 − quỹ) − chi</t>
  </si>
  <si>
    <t xml:space="preserve">   hiện giá dòng tiền trang trại ở lợi suất dự án</t>
  </si>
  <si>
    <t xml:space="preserve">   hiện giá dòng tiền nhà máy ở lợi suất dự án</t>
  </si>
  <si>
    <t xml:space="preserve">   lãi tiền gửi (âm = lãi vay) trên số dư đầu năm</t>
  </si>
  <si>
    <t xml:space="preserve">   LNST = lõi + dự án + lãi × (1 − 20%)</t>
  </si>
  <si>
    <t xml:space="preserve">   cổ tức tiền mặt</t>
  </si>
  <si>
    <t xml:space="preserve">   cộng lại khấu hao trang trại − chi duy trì (không ra tiền)</t>
  </si>
  <si>
    <t xml:space="preserve">   TIỀN RÒNG CUỐI NĂM (âm = phải vay)</t>
  </si>
  <si>
    <t xml:space="preserve">   vốn chủ cuối năm</t>
  </si>
  <si>
    <t xml:space="preserve">   hiện giá cổ tức</t>
  </si>
  <si>
    <t>Năm 2 — 2028</t>
  </si>
  <si>
    <t>Năm 3 — 2029</t>
  </si>
  <si>
    <t>Năm 4 — 2030</t>
  </si>
  <si>
    <t>Năm 5 — 2031</t>
  </si>
  <si>
    <t>TIỀN RÒNG THẤP NHẤT 2027–2031 (âm = số phải vay)</t>
  </si>
  <si>
    <t>Cổ tức theo 02 mục C và chi cả hai dự án</t>
  </si>
  <si>
    <t>Năm đầu tiên tiền ròng âm</t>
  </si>
  <si>
    <t>B2. GIÁ TRỊ HAI DỰ ÁN — hiện giá dòng tiền 2027–2031 + 20 năm đều sau đó, ở lợi suất dự án</t>
  </si>
  <si>
    <t>Trang trại + du lịch: dòng tiền đều từ 2032 = tiền thu − quỹ × lãi</t>
  </si>
  <si>
    <t>Nhà máy: dòng tiền đều từ 2032 = lãi × (1 − quỹ)</t>
  </si>
  <si>
    <t>GIÁ TRỊ RÒNG TRANG TRẠI (gồm du lịch)</t>
  </si>
  <si>
    <t>GIÁ TRỊ RÒNG NHÀ MÁY</t>
  </si>
  <si>
    <t>GIÁ TRỊ RÒNG HAI DỰ ÁN</t>
  </si>
  <si>
    <t xml:space="preserve">   quy ra đồng/cổ phiếu</t>
  </si>
  <si>
    <t>Hệ số: thêm 1 tỷ lãi trước khấu hao trang trại mỗi năm → thêm bao nhiêu tỷ giá trị</t>
  </si>
  <si>
    <t>Dùng cho mức hòa vốn và bảng 2 ở 04</t>
  </si>
  <si>
    <t>HÒA VỐN: giá bán sữa để giá trị ròng trang trại = 0 (đ/lít)</t>
  </si>
  <si>
    <t>Hệ số: thêm 1 tỷ lãi tăng thêm nhà máy mỗi năm → thêm bao nhiêu tỷ giá trị</t>
  </si>
  <si>
    <t>HÒA VỐN: lãi tăng thêm nhà máy để giá trị ròng nhà máy = 0 (tỷ/năm)</t>
  </si>
  <si>
    <t xml:space="preserve">   tương ứng lãi trên vốn nhà máy</t>
  </si>
  <si>
    <t>Tiền ròng 30/06/2026 (tính đủ mệnh giá)</t>
  </si>
  <si>
    <t>1. P/E LỢI NHUẬN LÕI + TIỀN + DỰ ÁN</t>
  </si>
  <si>
    <t>Giá trị kinh doanh lõi = lợi nhuận lõi thuộc cổ đông × P/E</t>
  </si>
  <si>
    <t>GIÁ TRỊ PHƯƠNG PHÁP 1 (đồng/cổ phiếu)</t>
  </si>
  <si>
    <t>5. EV/EBITDA LÕI + TIỀN + DỰ ÁN</t>
  </si>
  <si>
    <t>Giá trị doanh nghiệp lõi = EBITDA lõi × bội số</t>
  </si>
  <si>
    <t>GIÁ TRỊ PHƯƠNG PHÁP 5 (đồng/cổ phiếu)</t>
  </si>
  <si>
    <t>4. P/B THEO ROE — P/B hợp lý = (ROE × (1 − quỹ) − g) ÷ (r − g)</t>
  </si>
  <si>
    <t>GIÁ TRỊ PHƯƠNG PHÁP 4 (đồng/cổ phiếu)</t>
  </si>
  <si>
    <t>ROE dưới r → P/B &lt; 1: tiền gửi lãi ~7% trong tay công ty đáng ít hơn mệnh giá ở r</t>
  </si>
  <si>
    <t>2. DCF PHẦN LÕI + TIỀN + DỰ ÁN — phần lõi chiết khấu ở r, giá trị cuối kỳ cuối 2031; cộng tiền và hai dự án</t>
  </si>
  <si>
    <t>Lợi nhuận lõi sau thuế năm 2032 = lõi 2031 × (1 + g)</t>
  </si>
  <si>
    <t>Vốn hoạt động lõi 2032</t>
  </si>
  <si>
    <t>Giá trị cuối kỳ = (lợi nhuận × (1 − quỹ) − g × vốn) ÷ (r − g)</t>
  </si>
  <si>
    <t>Giá trị phần lõi = Σ hiện giá 2027–2031 + hiện giá giá trị cuối kỳ</t>
  </si>
  <si>
    <t>Giá trị cuối kỳ / giá trị phần lõi</t>
  </si>
  <si>
    <t>GIÁ TRỊ PHƯƠNG PHÁP 2 (đồng/cổ phiếu)</t>
  </si>
  <si>
    <t>3. CHIẾT KHẤU CỔ TỨC (DDM) — tạm ứng đợt 1/2026 + cổ tức 2027–2031 theo chính sách, sau đó trả theo ROE</t>
  </si>
  <si>
    <t>Hiện giá cổ tức tạm ứng đợt 1/2026 (khoảng tháng 11/2026, 5 tháng sau 30/06)</t>
  </si>
  <si>
    <t>LNST năm 2032 = (lõi + dự án) 2031 × (1 + g) + lãi trên tiền ròng cuối 2031</t>
  </si>
  <si>
    <t>ROE 2032 (sau quỹ, trên vốn chủ cuối 2031)</t>
  </si>
  <si>
    <t>Tỷ lệ chia bền vững = 1 − g ÷ ROE</t>
  </si>
  <si>
    <t>Giá trị cuối kỳ = cổ tức 2032 ÷ (r − g)</t>
  </si>
  <si>
    <t>Giá trị = tạm ứng 2026 + Σ hiện giá cổ tức 2027–2031 + hiện giá giá trị cuối kỳ</t>
  </si>
  <si>
    <t>GIÁ TRỊ PHƯƠNG PHÁP 3 (đồng/cổ phiếu)</t>
  </si>
  <si>
    <t>Dòng tiền ròng bắt đầu từ 30/06/2026, bỏ qua lợi nhuận nửa cuối 2026 — tạm ứng đợt 1 coi như chi từ lợi nhuận đó</t>
  </si>
  <si>
    <t>Độ phân tán: cao nhất ÷ thấp nhất giữa năm phương pháp</t>
  </si>
  <si>
    <t>Kiểm: cột đối chứng T0 ra đúng cơ sở</t>
  </si>
  <si>
    <t>Đóng góp vào kỳ vọng (đồng)</t>
  </si>
  <si>
    <t>Giá cổ phiếu (đồng)</t>
  </si>
  <si>
    <t>Quy ước hồ sơ coverage</t>
  </si>
  <si>
    <t>Âm khi giá đã trên kỳ vọng</t>
  </si>
  <si>
    <t>Chênh kỳ vọng so giá = (kỳ vọng − giá) ÷ giá</t>
  </si>
  <si>
    <t>MCM — ĐỘ NHẠY (đồng/cổ phiếu)</t>
  </si>
  <si>
    <t>Quanh kịch bản CƠ SỞ. Ô nền vàng = cơ sở; nền cam = thấp hơn giá hiện tại (bảng 2: âm). Bảng 1–3 là công thức dạng đóng của riêng một phương pháp; bảng 4 đọc từ các cột phép thử ở 03 — mỗi dòng là một bản tính lại đầy đủ cả năm phương pháp.</t>
  </si>
  <si>
    <t>hàng \ cột</t>
  </si>
  <si>
    <t>Mỗi 1 điểm % chi phí bán hàng trên ~2.450 tỷ doanh thu = ~24,5 tỷ EBIT — gần bằng 150 tỷ doanh thu. Khuyến mãi quyết định lợi nhuận nhiều như doanh thu.</t>
  </si>
  <si>
    <t>BẢNG 2 — GIÁ TRỊ RÒNG HAI DỰ ÁN (đồng/cp): GIÁ BÁN SỮA TRANG TRẠI (hàng, đ/lít) × CHI PHÍ TIỀN MẶT MỖI LÍT (cột)</t>
  </si>
  <si>
    <t>Nhà máy giữ nguyên cơ sở. Mỗi 1.000 đ/lít ≈ 20 tỷ lãi trước khấu hao/năm. Cộng thẳng vào cả năm phương pháp (trừ P/B theo ROE). Mức hòa vốn từng kịch bản ở 06 mục C.</t>
  </si>
  <si>
    <t>BẢNG 3 — RIÊNG PHƯƠNG PHÁP 4: ROE CHU KỲ (hàng) × LỢI SUẤT YÊU CẦU r (cột)</t>
  </si>
  <si>
    <t>r ± 1 điểm ≈ β ± 0,11 ở ERP 9,2%. Phép thử β 0,65 / 0,85 và ERP 10% tính đủ cả năm phương pháp ở bảng 4 (T5, T6, T14).</t>
  </si>
  <si>
    <t>Phép thử</t>
  </si>
  <si>
    <t>Giá trị thử</t>
  </si>
  <si>
    <t>Chênh (đồng)</t>
  </si>
  <si>
    <t>Chênh %</t>
  </si>
  <si>
    <t>Cột ở 03</t>
  </si>
  <si>
    <t>Đọc thế nào</t>
  </si>
  <si>
    <t>T0 · Đối chứng: không đổi gì (phải ra đúng cơ sở)</t>
  </si>
  <si>
    <t>H</t>
  </si>
  <si>
    <t>Phải bằng 0 — kiểm đường ống phép thử</t>
  </si>
  <si>
    <t>T1 · Không xây nhà máy trong 5 năm — MỨC TRẦN (coi nhà máy cũ chạy mãi không tốn thêm)</t>
  </si>
  <si>
    <t>I</t>
  </si>
  <si>
    <t>MỨC TRẦN: không tính chi phí giữ nhà máy cũ (hết đất, xuống cấp) hay Creamery bị chặn công suất</t>
  </si>
  <si>
    <t>T2 · Nhà máy chạy từ 2028 (lịch công ty: xong Q4/2027)</t>
  </si>
  <si>
    <t>J</t>
  </si>
  <si>
    <t>Chi sớm hơn nhưng có lãi sớm hơn</t>
  </si>
  <si>
    <t>T3 · Sữa trang trại bán thô 13.000 đ/lít</t>
  </si>
  <si>
    <t>K</t>
  </si>
  <si>
    <t>Creamery không hút được sữa trại mới — bán thô cho Vinamilk</t>
  </si>
  <si>
    <t>T4 · Chi phí nuôi 11.500 đ/lít</t>
  </si>
  <si>
    <t>L</t>
  </si>
  <si>
    <t>T5 · ERP 10% (VDSC, cận trên)</t>
  </si>
  <si>
    <t>M</t>
  </si>
  <si>
    <t>Mức VDSC dùng cho doanh nghiệp chu kỳ</t>
  </si>
  <si>
    <t>T6 · β phần kinh doanh 0,85 (bằng dự án)</t>
  </si>
  <si>
    <t>N</t>
  </si>
  <si>
    <t>Coi kinh doanh hiện tại rủi ro như dự án</t>
  </si>
  <si>
    <t>T7 · Cổ tức 1.000đ/cp (tối thiểu 50% LNST)</t>
  </si>
  <si>
    <t>O</t>
  </si>
  <si>
    <t>T8 · B về mức 2025 (Creamery không cất cánh)</t>
  </si>
  <si>
    <t>P</t>
  </si>
  <si>
    <t>Creamery không bù được sữa thương hiệu đang giảm</t>
  </si>
  <si>
    <t>T9 · B về mức 2023</t>
  </si>
  <si>
    <t>Q</t>
  </si>
  <si>
    <t>Hàng thương hiệu trở lại thời trước 2024</t>
  </si>
  <si>
    <t>T10 · Chi phí bán hàng ÷ B = mức 12 tháng</t>
  </si>
  <si>
    <t>R</t>
  </si>
  <si>
    <t>S</t>
  </si>
  <si>
    <t>T12 · P/E lõi = P/E trung vị lịch sử MCM</t>
  </si>
  <si>
    <t>T</t>
  </si>
  <si>
    <t>T13 · Biên gộp B giữ mức 6T/2026</t>
  </si>
  <si>
    <t>U</t>
  </si>
  <si>
    <t>Biên gộp nửa đầu 2026 là mức bền</t>
  </si>
  <si>
    <t>T14 · β phần kinh doanh 0,65</t>
  </si>
  <si>
    <t>Đầu dưới dải β (MCM tự tính 0,70)</t>
  </si>
  <si>
    <t>Trọng số bằng nhau (20% mỗi phương pháp)</t>
  </si>
  <si>
    <t>Chỉ phương pháp 1 (P/E lõi + tiền + dự án)</t>
  </si>
  <si>
    <t>Cách thị trường hay nhìn MCM</t>
  </si>
  <si>
    <t>Chỉ phương pháp 3 (cổ tức)</t>
  </si>
  <si>
    <t>Góc nhìn của cổ đông thiểu số</t>
  </si>
  <si>
    <t>MCM — ĐỐI CHIẾU CHÉO</t>
  </si>
  <si>
    <t>A. BỘI SỐ TẠI GIÁ THỊ TRƯỜNG, TẠI KỲ VỌNG, TẠI BÌNH QUÂN CƠ SỞ</t>
  </si>
  <si>
    <t>Tại giá thị trường</t>
  </si>
  <si>
    <t>Tại giá trị kỳ vọng</t>
  </si>
  <si>
    <t>Tại bình quân cơ sở</t>
  </si>
  <si>
    <t>Vốn hoá (tỷ đồng)</t>
  </si>
  <si>
    <t>Giá trị phần lõi + dự án = vốn hoá − tiền ròng (tỷ đồng)</t>
  </si>
  <si>
    <t>Thị trường trả cho kinh doanh lõi CỘNG hai dự án bao nhiêu sau khi trừ tiền</t>
  </si>
  <si>
    <t>P/E 12 tháng (cả lãi tiền gửi)</t>
  </si>
  <si>
    <t>Cách thị trường và Vietcap đọc</t>
  </si>
  <si>
    <t>P/E lõi 12 tháng = (vốn hoá − tiền) ÷ lợi nhuận lõi sau thuế, sau quỹ</t>
  </si>
  <si>
    <t>Coi dự án hòa vốn</t>
  </si>
  <si>
    <t>P/E lõi chuẩn hoá cơ sở</t>
  </si>
  <si>
    <t>So P/E đặt ở 02 (10,8x) — chưa trừ giá trị ròng dự án</t>
  </si>
  <si>
    <t>P/B (sổ sách 30/06/2026)</t>
  </si>
  <si>
    <t>EV/EBITDA lõi 12 tháng (EV = vốn hoá − tiền)</t>
  </si>
  <si>
    <t>Tỷ suất cổ tức (2.000đ/cp như 2022–2025)</t>
  </si>
  <si>
    <t>Cổ tức 2025 cao hơn LNST sau quỹ — chính sách 2026 hạ về tối thiểu 50% LNST</t>
  </si>
  <si>
    <t>P/E lõi cơ bản = (1 − quỹ − g ÷ ROIC) ÷ ((1 − quỹ) × (r − g)), ROIC lõi 12 tháng</t>
  </si>
  <si>
    <t>Bội số mà ROIC lõi và r (02 mục A) biện minh được. Đặt ở 02: 10,8x</t>
  </si>
  <si>
    <t>EV/EBITDA lõi cơ bản = (1 − thuế)(1 − quỹ − g ÷ ROIC) × EBIT/EBITDA ÷ (r − g)</t>
  </si>
  <si>
    <t>Đặt ở 02: 6,6x</t>
  </si>
  <si>
    <t>B. GIÁ ĐANG NGẦM ĐỊNH ĐIỀU GÌ — giải ngược dạng đóng</t>
  </si>
  <si>
    <t>(a) ROE thuộc cổ đông ngầm định (công thức phương pháp 4)</t>
  </si>
  <si>
    <t xml:space="preserve">    quy về ROE trước trích quỹ</t>
  </si>
  <si>
    <t>So ROE 2022–2025 bình quân và 12 tháng (01 mục F)</t>
  </si>
  <si>
    <t>(b) P/E lõi ngầm định nếu hai dự án hòa vốn</t>
  </si>
  <si>
    <t>Trên lợi nhuận lõi chuẩn hoá cơ sở</t>
  </si>
  <si>
    <t>(c) P/E lõi ngầm định với giá trị ròng dự án cơ sở</t>
  </si>
  <si>
    <t>Cao hơn P/E đặt ở 02 nghĩa là giá đang trả trước cho dự án tốt hơn cơ sở</t>
  </si>
  <si>
    <t>(d) B (doanh thu phần còn lại) ngầm định ở P/E đặt ở 02 và dự án cơ sở (tỷ)</t>
  </si>
  <si>
    <t>So B cơ sở 2.450; 12 tháng 2.302; đỉnh 2023 2.710</t>
  </si>
  <si>
    <t>(e) Giá trị ròng dự án ngầm định ở P/E đặt ở 02 và lõi cơ sở (tỷ)</t>
  </si>
  <si>
    <t>So giá trị ròng dự án cơ sở ở 06 mục C</t>
  </si>
  <si>
    <t>(f) LỢI SUẤT YÊU CẦU PHẦN KINH DOANH NGẦM ĐỊNH Ở GIÁ HIỆN TẠI</t>
  </si>
  <si>
    <t>Bằng g + lợi nhuận lõi × (1 − g ÷ ROIC) ÷ (vốn hoá − tiền − dự án). So r ở 02 mục A: thấp hơn r = giá đắt</t>
  </si>
  <si>
    <t>(g) LỢI SUẤT KỲ VỌNG CẢ CỔ PHIẾU NẾU MUA Ở GIÁ HIỆN TẠI</t>
  </si>
  <si>
    <t>Bình quân: phần kinh doanh ở (f), phần tiền gửi ở lãi tiền gửi sau thuế, sau quỹ — tiền là ~nửa giá trị</t>
  </si>
  <si>
    <t>(h) Chênh so lãi tiền gửi tham chiếu của nhà đầu tư (điểm %)</t>
  </si>
  <si>
    <t>Tự kiểm: thế (a) ngược vào công thức phương pháp 4 ra đúng giá thị trường</t>
  </si>
  <si>
    <t>Tự kiểm: thế (d) vào phương pháp 1 cơ sở ra đúng giá thị trường</t>
  </si>
  <si>
    <t>C. HAI ĐƯỜNG TỚI ROE — lịch sử (phương pháp 4) và động cơ lõi + lãi tiền gửi</t>
  </si>
  <si>
    <t>ROE chu kỳ lịch sử đặt ở 02 (trước trích quỹ)</t>
  </si>
  <si>
    <t>ROE theo động cơ = (lợi nhuận lõi + lãi tiền gửi × 80%) ÷ vốn chủ 30/06/2026, trước dự án</t>
  </si>
  <si>
    <t>Chênh (điểm %)</t>
  </si>
  <si>
    <t>Gần 0 = hai cách độc lập kể cùng câu chuyện. Khi tiền gửi đổ vào dự án ROIC thấp, ROE không tăng dù tiền nhàn rỗi giảm</t>
  </si>
  <si>
    <t>D. NHÓM SO SÁNH (số cứng — cập nhật tay)</t>
  </si>
  <si>
    <t>Mã</t>
  </si>
  <si>
    <t>P/E</t>
  </si>
  <si>
    <t>P/B</t>
  </si>
  <si>
    <t>EV/EBITDA 12 tháng</t>
  </si>
  <si>
    <t>VNM</t>
  </si>
  <si>
    <t>Vinamilk — công ty mẹ cấp cao nhất của MCM</t>
  </si>
  <si>
    <t>IDP</t>
  </si>
  <si>
    <t>Sữa Quốc tế (Kun) — tăng trưởng, ít tiền gửi</t>
  </si>
  <si>
    <t>QNS</t>
  </si>
  <si>
    <t>Đường Quảng Ngãi — Vinasoy (sữa đậu nành) + đường</t>
  </si>
  <si>
    <t>SAB</t>
  </si>
  <si>
    <t>Bia — hàng tiêu dùng, nhiều tiền gửi như MCM</t>
  </si>
  <si>
    <t>MCM</t>
  </si>
  <si>
    <t>Hệ thống (Vietcap) — để so. EV KHÔNG trừ tiền gửi có kỳ hạn → không so thẳng với mục A</t>
  </si>
  <si>
    <t>Trung vị VNM, IDP, QNS, SAB</t>
  </si>
  <si>
    <t>P/E, P/B: daily_valuation phiên 07/10/2026. EV/EBITDA: gen_ratios_vietcap RATIO_TTM Q2/2026. Không mã nào cùng mô hình nửa trại sữa nửa thương hiệu, lại bị công ty mẹ mua sữa — chỉ để định vị.</t>
  </si>
  <si>
    <t>E. ĐỐI CHIẾU VỚI FILE QNS — nếu định giá phần lõi như Vinasoy (9 lần EBIT, dùng chung)</t>
  </si>
  <si>
    <t>Bội số Vinasoy trong file QNS (lần EBIT)</t>
  </si>
  <si>
    <t>QNS_SOTP_2026-09-30.xlsx, 02_Giả định dòng 25 — đọc trên bản sao 09/10/2026</t>
  </si>
  <si>
    <t>Giá trị = (EBIT lõi × 9 + tiền ròng + giá trị ròng dự án) ÷ cổ phiếu (đồng)</t>
  </si>
  <si>
    <t>Không trừ quỹ khen thưởng phúc lợi, không trừ thuế — cách đọc của file QNS. Dùng để thấy chênh giữa hai file, không đưa vào bình quân</t>
  </si>
  <si>
    <t>F. MỐC KIỂM QUÝ 3/2026 — đà cải thiện lợi nhuận lõi 6 tháng có giữ được không</t>
  </si>
  <si>
    <t>Dự báo (giữ đà)</t>
  </si>
  <si>
    <t>Cận dưới</t>
  </si>
  <si>
    <t>Cận trên</t>
  </si>
  <si>
    <t>Thực tế</t>
  </si>
  <si>
    <t>Trạng thái</t>
  </si>
  <si>
    <t>LNST Q3/2026 (tỷ đồng)</t>
  </si>
  <si>
    <t>Cận dưới/trên = còn một nửa / mạnh gấp rưỡi mức EBIT lõi tăng thêm mỗi quý của 6T/2026. Kèm theo: xây dựng dở dang nhà máy có nhích khỏi 31 tỷ không (san lấp Q3/2026 theo kế hoạch).</t>
  </si>
  <si>
    <t>Thuyết minh bên liên quan</t>
  </si>
  <si>
    <t>Bảng cân đối</t>
  </si>
  <si>
    <t>Nghị quyết HĐQT, ĐHĐCĐ</t>
  </si>
  <si>
    <t>2. Phương pháp 1, 2, 3, 5 cùng đi từ một con số lợi nhuận lõi chuẩn hoá — B và chi phí bán hàng sai thì bốn phương pháp sai cùng chiều. Chỉ phương pháp 4 (ROE lịch sử) độc lập.</t>
  </si>
  <si>
    <t>3. Giá bán, chi phí mỗi lít của trang trại và lãi du lịch, lãi tăng thêm của nhà máy là TỰ ĐẶT: công ty không công bố (06 mục F). Trang trại chi nốt dồn vào 2027; sau 2031 dòng tiền dự án đều thêm 20 năm rồi dừng.</t>
  </si>
  <si>
    <t>4. Lợi nhuận lõi coi nhà máy cũ chạy mãi; phần nhà máy mới thay nhà máy cũ nằm trong lãi tăng thêm thấp, không mô hình riêng chi phí sửa chữa nhà máy cũ. Sữa trại mới có giành chỗ sữa nông hộ (đang dư) hay không — không mô hình.</t>
  </si>
  <si>
    <t>5. Lợi suất yêu cầu theo cách rút gọn của công ty chứng khoán (Rf + β × ERP); cách Damodaran đầy đủ (cộng riêng rủi ro quốc gia, Rf quy từ USD) cho MCM ~13,3%. Thuế: lãi tiền gửi chịu đủ 20%, phần miễn thuế dồn hết vào lợi nhuận lõi.</t>
  </si>
  <si>
    <t>6. Dòng tiền bắt đầu từ 30/06/2026, bỏ qua lợi nhuận nửa cuối 2026 (~100 tỷ); tạm ứng cổ tức đợt 1/2026 cộng ở phương pháp 3 coi như chi từ khoản đó.</t>
  </si>
  <si>
    <t>7. Thanh khoản rất thấp (~0,4 tỷ/phiên): giá thị trường có thể lệch xa giá trị lâu; Vinamilk có thể mua nốt hoặc không bao giờ — không mô hình.</t>
  </si>
  <si>
    <t>MCM — HAI DỰ ÁN MỚI: TRANG TRẠI 4.000 CON (CÓ DU LỊCH) VÀ NHÀ MÁY SỮA (bản 12/10/2026)</t>
  </si>
  <si>
    <t>Dữ kiện dự án ở 01 mục G. Sheet này: giả định theo ba kịch bản (nền xanh lá), kết quả đọc từ 03 (tính lại đủ ở mọi cột phép thử), mức hòa vốn, việc theo dõi mỗi quý và những gì phải hỏi công ty. Giá trị dự án = dòng tiền 2027–2031 + 20 năm đều sau đó, chiết khấu ở lợi suất dự án (02 mục A). Phần đã chi là chi phí chìm.</t>
  </si>
  <si>
    <t>A. TRANG TRẠI 4.000 CON — tách phần bò sữa (lít × giá − chi phí) và phần du lịch</t>
  </si>
  <si>
    <t>Mốc / nguồn số</t>
  </si>
  <si>
    <t>Vốn phần trang trại bò sữa (tỷ)</t>
  </si>
  <si>
    <t>Mốc = 1.120 × 70% (tỷ lệ 700/1.000 lúc khởi công). Xấu: vượt dự toán ~10% — đang lắp máy, nhập gian vắt sữa. Vinamilk Quảng Ngãi 4.000 con: 700 tỷ</t>
  </si>
  <si>
    <t>Vốn phần du lịch, cảnh quan thực làm (tỷ)</t>
  </si>
  <si>
    <t>Sản lượng khi đủ đàn (triệu lít/năm)</t>
  </si>
  <si>
    <t>Thiết kế 20; trại 2.000 con hiện có làm ra 11 triệu lít → 4.000 con ≈ 22. Năng suất đàn MCM 26 lít/con/ngày (BCTN 2025), KBSV kỳ vọng trại mới 30–32</t>
  </si>
  <si>
    <t>Sản lượng năm 2027 so với khi đủ đàn</t>
  </si>
  <si>
    <t>Chính thức Q2/2027, đủ đàn 2028 (KBSV). Xấu: lên đàn chậm (nguồn bò chưa công bố)</t>
  </si>
  <si>
    <t>Giá bán sữa của trang trại (đồng/lít)</t>
  </si>
  <si>
    <t>Giá tại trại cả nước 13.000–14.500 đ/kg (2024), 14.000–15.000 (2025) — Người Chăn Nuôi 17/03/2026; Ba Vì 12.000–14.000 (09/2025). MCM: giá mua, giá bán cho Vinamilk 2026 "giữ nguyên 2025", không công bố số. Tốt = sữa vào Creamery (giá nội bộ cao hơn) — TỰ ĐẶT</t>
  </si>
  <si>
    <t>Chi phí tiền mặt mỗi lít: thức ăn, nhân công, thú y (đồng/lít)</t>
  </si>
  <si>
    <t>TỰ ĐẶT — công ty không công bố. Mốc duy nhất: chi phí sản xuất sữa Việt Nam 9.500–10.000 đ/lít (IPSARD 2019, cũ). Ngô, khô đậu +21–25% so cùng kỳ (09/2026). Trại công nghệ cao năng suất cao thì thấp hơn nông hộ</t>
  </si>
  <si>
    <t>Thu thêm từ bê đực, bò loại (% doanh thu sữa)</t>
  </si>
  <si>
    <t>TỰ ĐẶT</t>
  </si>
  <si>
    <t>Chi duy trì chuồng trại, thiết bị (tỷ/năm)</t>
  </si>
  <si>
    <t>Khấu hao phần bò sữa (năm)</t>
  </si>
  <si>
    <t>Nhà cửa 5–33 năm, máy móc 5–24 năm (chính sách kế toán BCTC 2025)</t>
  </si>
  <si>
    <t>Du lịch: lãi trước thuế mỗi năm từ 2028 (tỷ)</t>
  </si>
  <si>
    <t>TỰ ĐẶT — không có số khách, giá vé. Mộc Châu 2,5 triệu lượt khách (2023), quy hoạch 5 triệu (2030); bán sữa tại chỗ chỉ tiêu được vài % sản lượng. Thuế 20% (không phải thu nhập chăn nuôi)</t>
  </si>
  <si>
    <t>B. NHÀ MÁY SỮA MỚI — giai đoạn 1 (giai đoạn 2 1.257 tỷ ngoài 5 năm, không tính)</t>
  </si>
  <si>
    <t>Có xây trong 5 năm (1 = có, 0 = không)</t>
  </si>
  <si>
    <t>Xấu: mặt bằng tiếp tục kẹt (82%, hộ nhà kiên cố chưa chịu đền bù), không xây trong 5 năm → sữa dư bán thô (giá Xấu ở mục A)</t>
  </si>
  <si>
    <t>Vốn giai đoạn 1 (tỷ)</t>
  </si>
  <si>
    <t>Báo Sơn La 09/09/2025. QĐ 2932/QĐ-UBND 19/11/2025 điều chỉnh chủ trương — chưa có toàn văn. Xấu chỉ để tham khảo (không xây)</t>
  </si>
  <si>
    <t>Năm bắt đầu có lãi (chi 50%/50% trong hai năm trước đó)</t>
  </si>
  <si>
    <t>Lãi tăng thêm sau thuế mỗi năm khi chạy (tỷ)</t>
  </si>
  <si>
    <t>TỰ ĐẶT. Phần lớn là THAY nhà máy cũ (200 tấn/ngày, hết đất, xuống cấp); lãi thêm chỉ có khi Creamery cần thêm công suất (chủ tịch: xây khi công suất cũ chạm 70%). Gồm chi phí sửa chữa nhà máy cũ tránh được. Tương ứng ~6% vốn ở cơ sở</t>
  </si>
  <si>
    <t>C. KẾT QUẢ BA KỊCH BẢN (đọc từ 03 — đổi giả định ở trên là chạy lại)</t>
  </si>
  <si>
    <t>Trang trại: tổng vốn theo kịch bản (bò sữa + du lịch, tỷ)</t>
  </si>
  <si>
    <t xml:space="preserve">   còn phải chi sau 30/06/2026 (tỷ)</t>
  </si>
  <si>
    <t>Đã ghi sổ 415,3 tỷ (01 mục D) là chi phí chìm</t>
  </si>
  <si>
    <t>Trang trại: doanh thu khi đủ đàn (tỷ/năm)</t>
  </si>
  <si>
    <t>lít × giá × (1 + thu thêm)</t>
  </si>
  <si>
    <t xml:space="preserve">   lãi trước khấu hao (tỷ/năm)</t>
  </si>
  <si>
    <t>Mỗi 1.000 đ/lít giá hoặc chi phí ≈ 20 tỷ/năm</t>
  </si>
  <si>
    <t xml:space="preserve">   lãi sau khấu hao, miễn thuế (tỷ/năm)</t>
  </si>
  <si>
    <t xml:space="preserve">   LÃI TRÊN VỐN PHẦN BÒ SỮA</t>
  </si>
  <si>
    <t>So lợi suất dự án 12,4% và lãi gửi ngân hàng</t>
  </si>
  <si>
    <t>Du lịch: lãi sau thuế (tỷ/năm)</t>
  </si>
  <si>
    <t>Cần ~20 tỷ/năm mới bằng gửi tiết kiệm trên 150–336 tỷ vốn</t>
  </si>
  <si>
    <t>Nhà máy: vốn còn phải chi (tỷ)</t>
  </si>
  <si>
    <t>GIÁ TRỊ RÒNG TRANG TRẠI, gồm du lịch (tỷ)</t>
  </si>
  <si>
    <t>Âm = phần còn phải chi sinh lời dưới 12,4%</t>
  </si>
  <si>
    <t>GIÁ TRỊ RÒNG NHÀ MÁY (tỷ)</t>
  </si>
  <si>
    <t>GIÁ TRỊ RÒNG HAI DỰ ÁN (tỷ)</t>
  </si>
  <si>
    <t>Cộng vào cả năm phương pháp (PP4 qua ROE lịch sử)</t>
  </si>
  <si>
    <t>HÒA VỐN: giá bán sữa trang trại để giá trị ròng trang trại = 0 (đ/lít)</t>
  </si>
  <si>
    <t>Giữ chi phí ở kịch bản đó</t>
  </si>
  <si>
    <t>D. DÒNG TIỀN HAI DỰ ÁN, KỊCH BẢN CƠ SỞ (tỷ đồng, 03 mục D)</t>
  </si>
  <si>
    <t>Chi trang trại</t>
  </si>
  <si>
    <t>Chi nhà máy</t>
  </si>
  <si>
    <t>Lãi kế toán hai dự án</t>
  </si>
  <si>
    <t>Dòng tiền trang trại + du lịch sau quỹ</t>
  </si>
  <si>
    <t>Dòng tiền nhà máy sau quỹ</t>
  </si>
  <si>
    <t>Sau 2031: dòng tiền đều thêm 20 năm (không tăng, không vĩnh viễn) — 03 mục B2</t>
  </si>
  <si>
    <t>E. THEO DÕI MỖI QUÝ — dự án đi đúng hay lệch</t>
  </si>
  <si>
    <t>Xem ở đâu</t>
  </si>
  <si>
    <t>Xây dựng dở dang trang trại</t>
  </si>
  <si>
    <t>Thuyết minh xây dựng dở dang</t>
  </si>
  <si>
    <t>Chuyển sang tài sản cố định ~Q2/2027</t>
  </si>
  <si>
    <t>Kéo dài, hoặc tổng vốn vượt 1.120 tỷ</t>
  </si>
  <si>
    <t>Tiền phát hành chi cho nhà máy</t>
  </si>
  <si>
    <t>Báo cáo sử dụng vốn (6 tháng/lần)</t>
  </si>
  <si>
    <t>Tăng — đã san lấp, xây hàng rào</t>
  </si>
  <si>
    <t>Đứng ở ~32 tỷ</t>
  </si>
  <si>
    <t>Tiền ròng</t>
  </si>
  <si>
    <t>Giảm đúng nhịp chi dự án</t>
  </si>
  <si>
    <t>Giảm nhanh hơn, hoặc bắt đầu vay</t>
  </si>
  <si>
    <t>≥ 50% LNST mà không phải vay</t>
  </si>
  <si>
    <t>Vay để trả cổ tức</t>
  </si>
  <si>
    <t>Bán cho Vinamilk</t>
  </si>
  <si>
    <t>Ổn định</t>
  </si>
  <si>
    <t>Tiếp tục giảm (6T/2026 −8,6%)</t>
  </si>
  <si>
    <t>Đàn bò</t>
  </si>
  <si>
    <t>Thuyết minh tài sản sinh học</t>
  </si>
  <si>
    <t>Tăng mạnh 2026–2027</t>
  </si>
  <si>
    <t>Đứng yên</t>
  </si>
  <si>
    <t>Biên lãi gộp</t>
  </si>
  <si>
    <t>Kết quả kinh doanh</t>
  </si>
  <si>
    <t>Tăng khi sữa trại mới vào Creamery (2027–2028)</t>
  </si>
  <si>
    <t>Sản lượng tăng mà biên không tăng</t>
  </si>
  <si>
    <t>Tiền thuê đất</t>
  </si>
  <si>
    <t>Thuyết minh thuế, phải nộp</t>
  </si>
  <si>
    <t>Rõ phần của dự án</t>
  </si>
  <si>
    <t>Tiếp tục tăng mạnh (6T/2026: 19,1 tỷ)</t>
  </si>
  <si>
    <t>Doanh thu du lịch hoặc "khác"</t>
  </si>
  <si>
    <t>Thuyết minh doanh thu</t>
  </si>
  <si>
    <t>Xuất hiện từ 2027</t>
  </si>
  <si>
    <t>Không có</t>
  </si>
  <si>
    <t>1. Giá MCM bán sữa tươi nguyên liệu cho Vinamilk và giá thu mua của nông hộ (đ/kg) — ĐHĐCĐ 2026 hỏi thẳng, công ty không nêu số.</t>
  </si>
  <si>
    <t>2. Chi phí ra 1 lít sữa ở trại tập trung 2.000 con hiện có.</t>
  </si>
  <si>
    <t>3. Toàn văn QĐ 2932/QĐ-UBND ngày 19/11/2025: vốn, giai đoạn, tiến độ nhà máy sau điều chỉnh.</t>
  </si>
  <si>
    <t>4. 1.120 tỷ hiện gồm những gì; phần du lịch còn bao nhiêu; đã gồm tiền mua bò chưa.</t>
  </si>
  <si>
    <t>5. Bò cho trại mới lấy từ đâu; 40,9 tỷ mua của Lao-Jagro là tài sản gì.</t>
  </si>
  <si>
    <t>6. Sản lượng sữa nguyên liệu từng năm, chia trại tự có / nông hộ, bán Vinamilk / chế biến.</t>
  </si>
  <si>
    <t>7. Tiền thuê 138 ha (QĐ 2126/QĐ-UBND 19/10/2023): đơn giá, trả hằng năm hay một lần.</t>
  </si>
  <si>
    <t>B: cột B · V: cột C, Trên 100 đồng doanh thu, hàng thương hiệu giữ ~7,4 đồng sau khuyến mãi, phần bán cho Vinamilk giữ 10 đồng (ước). So theo doanh thu, không theo lít sữa: một lít làm thành hàng thương hiệu cho doanh thu cao hơn bán thô. Đòn bẩy thật là biên gộp B và tỷ lệ khuyến mãi</t>
  </si>
  <si>
    <t>T15</t>
  </si>
  <si>
    <t>Toàn bộ là công thức đọc từ 01 và 02 — không nhập số ở sheet này, TRỪ ô đổi tham số ở cột phép thử (nền xanh lá). Mỗi cột H–W là một bản tính lại đầy đủ: lấy đúng tham số cột Cơ sở, đổi đúng một ô (T15 đổi thêm biên gộp B 12 tháng đi kèm để EBIT 12 tháng vẫn khớp).</t>
  </si>
  <si>
    <t>W</t>
  </si>
  <si>
    <t>Lợi nhuận lõi, dòng tiền 2027–2031 (lõi, dự án, tiền), năm phương pháp × ba kịch bản, 16 cột phép thử</t>
  </si>
  <si>
    <t>Chiết khấu tiền ròng khi cộng vào giá trị (k)</t>
  </si>
  <si>
    <t>Lợi nhuận lõi chuẩn hoá × P/E, cộng tiền theo mệnh giá, cộng giá trị ròng dự án · Từ 13/10/2026 chỉ đối chiếu (trước 30%)</t>
  </si>
  <si>
    <t>Dòng tiền phần lõi 2027–2031 ở r lõi; hai dự án cộng riêng (06) ở lợi suất dự án · Từ 13/10/2026 DÙNG LÀM GIÁ TRỊ: 100% (trước 25%)</t>
  </si>
  <si>
    <t>Cổ đông thiểu số chỉ nhận cổ tức; Vinamilk kiểm soát 68% quyết định chia bao nhiêu · Từ 13/10/2026 chỉ đối chiếu (trước 20%): r phần kinh doanh áp cả lên tiền gửi nên định giá tiền thấp</t>
  </si>
  <si>
    <t>ROE lịch sử, độc lập với động cơ lõi; coi tiền gửi nằm lại công ty mãi · Từ 13/10/2026 chỉ đối chiếu (trước 15%): như phương pháp 3, mỗi đồng tiền chỉ được ~0,25 đồng</t>
  </si>
  <si>
    <t>Gần như trùng phương pháp 1 (không vay) · Từ 13/10/2026 chỉ đối chiếu (trước 10%)</t>
  </si>
  <si>
    <t>MCM — ĐỊNH GIÁ: DCF LÕI + TIỀN + DỰ ÁN (BỐN PHƯƠNG PHÁP ĐỐI CHIẾU), BA KỊCH BẢN, MƯỜI SÁU CỘT PHÉP THỬ (bản 12/10/2026, sửa 13/10)</t>
  </si>
  <si>
    <t>Giá trị vốn chủ = lõi + tiền ròng × (1 − k) + giá trị ròng dự án</t>
  </si>
  <si>
    <t>Giá trị vốn chủ = EV lõi + tiền ròng × (1 − k) + giá trị ròng dự án</t>
  </si>
  <si>
    <t>Giá trị vốn chủ = phần lõi + tiền ròng 30/06/2026 × (1 − k) + giá trị ròng dự án</t>
  </si>
  <si>
    <t>TỔNG HỢP — GIÁ TRỊ THEO TRỌNG SỐ 02 (từ 13/10/2026: DCF 100%, còn lại đối chiếu) (mọi cột)</t>
  </si>
  <si>
    <t>GIÁ TRỊ BÌNH QUÂN CÓ TRỌNG SỐ (đồng/cổ phiếu) — từ 13/10/2026 = phương pháp 2</t>
  </si>
  <si>
    <t>BẢNG 4 — PHÉP THỬ MỘT BIẾN trên GIÁ TRỊ CƠ SỞ = DCF + tiền × (1 − k) + dự án (tính lại đầy đủ ở 03 cột H–W)</t>
  </si>
  <si>
    <t>Giá trị cơ sở</t>
  </si>
  <si>
    <t>Cách tính trước 13/10: bình quân năm phương pháp 30/25/20/15/10, tiền tính đủ</t>
  </si>
  <si>
    <t>Để so với bản trước: cơ sở 24.584 sau khi đổi du lịch 336 (sáng 13/10/2026)</t>
  </si>
  <si>
    <t>k = 0% (tiền ròng tính đủ mệnh giá)</t>
  </si>
  <si>
    <t>Mỗi 10 điểm k ≈ 1.271 đ/cp</t>
  </si>
  <si>
    <t>k = 20%</t>
  </si>
  <si>
    <t>Vinamilk giữ tiền lâu hoặc dồn vào dự án mới</t>
  </si>
  <si>
    <t>MCM — GIỐNG BÒ SỮA MỘC CHÂU · ĐỊNH GIÁ: DCF LÕI + TIỀN + DỰ ÁN, BỐN PHƯƠNG PHÁP ĐỐI CHIẾU</t>
  </si>
  <si>
    <t>Giá trị cơ sở (đồng)</t>
  </si>
  <si>
    <t>FAIR VALUE (đồng)</t>
  </si>
  <si>
    <t>Kỳ vọng ba kịch bản 25/50/25</t>
  </si>
  <si>
    <t>GIÁ TRỊ TỪNG KỊCH BẢN (= phương pháp 2)</t>
  </si>
  <si>
    <t>FAIR VALUE = GIÁ TRỊ KỲ VỌNG (đồng/cổ phiếu)</t>
  </si>
  <si>
    <t>Đối chiếu. Lõi × P/E (02), tiền × (1 − k), cộng giá trị ròng dự án (06)</t>
  </si>
  <si>
    <t>DÙNG LÀM GIÁ TRỊ. Dòng tiền phần lõi ở r (02 mục A), cộng tiền × (1 − k) và dự án</t>
  </si>
  <si>
    <t>Đối chiếu. Tạm ứng 2026 + cổ tức 2027–2031 theo chính sách, sau đó trả theo ROE</t>
  </si>
  <si>
    <t>Đối chiếu. ROE lịch sử, không qua động cơ lõi</t>
  </si>
  <si>
    <t>Đối chiếu. EBITDA lõi × bội số (02), cộng tiền × (1 − k) và dự án</t>
  </si>
  <si>
    <t>Trên 1,5x: xem vì sao các phương pháp đối chiếu lệch xa DCF</t>
  </si>
  <si>
    <t>Gần một nửa giá cổ phiếu là tiền gửi — câu hỏi là tiền này về cổ đông hay vào dự án · Tính vào giá trị 90% (k ở 02 ô B26)</t>
  </si>
  <si>
    <t>Fair value</t>
  </si>
  <si>
    <t>Giá trị kỳ vọng = 25% × xấu + 50% × cơ sở + 25% × tốt; mỗi kịch bản = DCF lõi + tiền ròng × (1 − k) + giá trị ròng dự án</t>
  </si>
  <si>
    <t>k</t>
  </si>
  <si>
    <t>Phần tiền ròng không tính vào giá trị: cổ đông thiểu số có thể không nhận đủ (Vinamilk 68% quyết chia). 10% (02 ô B26)</t>
  </si>
  <si>
    <t>Ít tiền về cổ đông sớm, ít phải vay · Từ 13/10/2026 chênh 0: chỉ đổi phương pháp đối chiếu</t>
  </si>
  <si>
    <t>Bội số thị trường từng trả cho CẢ công ty (gồm lãi tiền gửi) — quá rộng tay cho phần lõi · Từ 13/10/2026 chênh 0: chỉ đổi phương pháp đối chiếu</t>
  </si>
  <si>
    <t>BẢNG 1 — RIÊNG PHƯƠNG PHÁP 1: B, doanh thu phần còn lại (hàng, tỷ) × CHI PHÍ BÁN HÀNG ÷ B (cột) — tiền × (1 − k) như phương pháp 1</t>
  </si>
  <si>
    <t>Bản 13/10/2026 · giá phiên 08/10/2026 · giá trị = DCF lõi + tiền × (1 − k) + dự án · lợi suất yêu cầu Rf + β × ERP (β 0,72, ERP 9,2%) · hai dự án ở 06</t>
  </si>
  <si>
    <t>2. BIỂU ĐỒ — giá trị từng phương pháp (kịch bản cơ sở) so với giá</t>
  </si>
  <si>
    <t>3. NHỮNG CON SỐ PHẢI NHỚ TRƯỚC KHI NHÌN MCM</t>
  </si>
  <si>
    <t>Thấp hơn r = thị trường trả đắt hơn lợi suất yêu cầu (05 mục B)</t>
  </si>
  <si>
    <t>4. TIỀN ĐI ĐÂU 2027–2031 — kịch bản cơ sở (tỷ đồng, 03 mục D)</t>
  </si>
  <si>
    <t>5. CHƯA CÓ SỐ CÔNG BỐ — câu hỏi còn mở ở 06 mục F</t>
  </si>
  <si>
    <t>1. Giá bán sữa nguyên liệu cho Vinamilk và giá thu mua nông hộ không công bố — mV 10% là ước của người viết (12/10/2026), giá sữa trang trại là tự đặt.</t>
  </si>
  <si>
    <t>6. MỤC LỤC — bấm tên sheet để đi tới</t>
  </si>
  <si>
    <t>Bội số, giá đang ngầm định gì (cả lợi suất), hai đường tới ROE, nhóm so sánh, file QNS, mốc Q3</t>
  </si>
  <si>
    <t>7. CHÚ GIẢI THUẬT NGỮ</t>
  </si>
  <si>
    <t>GEN_IS_021. Cột H lấy năm 2025 kiểm toán làm gốc: cộng thẳng bốn quý 2025 trong DB thiếu 2,8 tỷ lãi gộp so BCTC năm</t>
  </si>
  <si>
    <t>MCM — GIẢ ĐỊNH (bản 12/10/2026)</t>
  </si>
  <si>
    <t>A. THAM SỐ CHUNG — lợi suất yêu cầu, thuế lãi tiền gửi, trọng số, chiết khấu tiền</t>
  </si>
  <si>
    <t>Khung chung của người viết. Trái phiếu Chính phủ 10 năm trúng thầu 4,43% đầu tháng 10/2026 — trong ngưỡng ±0,5 điểm, chưa đổi</t>
  </si>
  <si>
    <t>Chốt 12/10/2026: dùng như VNDirect, VDSC. VNDirect BSR 17/08/2026: 9,2% (Rf 4,3%); VDSC GDA 07/04/2026: 10% (mức cho doanh nghiệp chu kỳ → cận trên, phép thử T5); Kafi PVS 9,63%; MBS VCB 8,5%; KBSV MCM 8% (β 1 → 12%). Damodaran 07/2026 cho Việt Nam 7,92% (4,20% + rủi ro quốc gia 3,72%)</t>
  </si>
  <si>
    <t>Chốt 12/10/2026. VNM: Blume 0,644 (thô tuần 5 năm 0,469) ÷ (1 − tiền ròng bình quân 5 năm 11%) = 0,72. MCM tự tính, bỏ tiền TỪNG TUẦN (tiền bình quân 40% vốn hóa): 0,70 (tuần 5 năm, CI 0,50–0,91), 0,76 (tuần 2 năm); Dimson trễ 1 tuần −0,03 → ít giao dịch không làm méo. Phép thử T6 (0,85), T14 (0,65)</t>
  </si>
  <si>
    <t>Không vay nên r cũng là chi phí vốn của DCF.</t>
  </si>
  <si>
    <t>TỰ ĐẶT. TM 17 BCTC 2025 chỉ ghi vay Vietcombank, VietinBank 4–6 tháng lãi cố định, KHÔNG ghi mức lãi</t>
  </si>
  <si>
    <t>MCM tạm ứng 1.000đ vào tháng 11 các năm 2022–2025; đợt 2026 CHƯA công bố. Cộng vào phương pháp 3</t>
  </si>
  <si>
    <t>Niêm yết 6–7,5% (12 tháng, 10/2026); khoản trên 200 triệu thường được cộng thêm 2–2,5% ngoài biểu — không có số công khai. Dùng để so lợi suất kỳ vọng ở 05 mục B</t>
  </si>
  <si>
    <t>Trọng số phương pháp — Chốt 13/10/2026: chỉ DCF (phương pháp 2) làm giá trị, bốn phương pháp còn lại để đối chiếu (trước: 30/25/20/15/10)</t>
  </si>
  <si>
    <t>Chốt 13/10/2026: giá trị = DCF phần lõi + tiền ròng × (1 − k) + giá trị ròng dự án. k là phần tiền cổ đông thiểu số có thể không nhận đủ: Vinamilk nắm 68% quyết định chia hay giữ, tiền nằm ở công ty chỉ lãi ~5% sau thuế và quỹ. Mỗi 10 điểm k ≈ 1.271 đ/cp. Áp cho phương pháp 1, 2, 5 (cùng cộng tiền); 04 bảng 4 có k = 0% và 20%.</t>
  </si>
  <si>
    <t>Ước của người viết (12/10/2026): khoảng 10% (bản trước dùng 5%, xem phép thử T15). Công ty không công bố giá bán cho Vinamilk; BCTC 2025 TM 25–26 chỉ tách thành phẩm/hàng hóa, sữa nguyên liệu nằm trong thành phẩm (biên 29,3%); CSDL gen_notes không có. Chỉ ảnh hưởng khi cơ cấu V/B đổi so 12 tháng (biên B hiệu chỉnh lại theo mV). Độ nhạy mV 0% / 5% / 10% / 15% → kỳ vọng 27.660 / 27.239 / 26.819 / 26.398 đ/cp (chạy lại 13/10/2026: du lịch 336, giá trị = DCF + tiền × 90%)</t>
  </si>
  <si>
    <t>Dùng chung: lợi nhuận đã khác nhau theo kịch bản, hạ bội số nữa là phạt hai lần. Mốc = P/E trung vị cả công ty (gồm lãi tiền gửi). 10,8x = bội số Vinasoy file QNS (9x EBIT) quy về lợi nhuận lõi sau thuế, quỹ; ≈ P/E cơ bản ở r mới (05 mục A). Phép thử T11 (10x)</t>
  </si>
  <si>
    <t>Mốc = lãi tiền gửi 2025 ÷ số dư bình quân. Lãi 12 tháng niêm yết 10/2026: 6–7,5%; khoản lớn được cộng thêm → cơ sở 7%</t>
  </si>
  <si>
    <t>P/E lõi 10x</t>
  </si>
  <si>
    <t>Biên gộp bán cho Vinamilk 5% thay cho 10% (cơ sở). Biên gộp B 12 tháng tính lại theo ô này để EBIT 12 tháng vẫn khớp</t>
  </si>
  <si>
    <t>Âm = phần còn phải chi sinh lời dưới lợi suất dự án. Không có "tăng g mãi mãi"</t>
  </si>
  <si>
    <t>Dự án tách riêng khỏi phần lõi</t>
  </si>
  <si>
    <t>Người mua hôm nay vẫn nhận đợt này. Chưa công bố chính thức — 02 mục A</t>
  </si>
  <si>
    <t>T11 · P/E lõi 10x</t>
  </si>
  <si>
    <t>Mức bội số tròn để so · Từ 13/10/2026 chênh 0: chỉ đổi phương pháp đối chiếu</t>
  </si>
  <si>
    <t>T15 · Biên gộp bán cho Vinamilk 5%</t>
  </si>
  <si>
    <t>Cơ sở dùng 10%. Fair value ba kịch bản ở 5%: 27.239 đ/cp (chạy lại toàn bộ 13/10/2026, giá trị = DCF + tiền × 90%; không tự cập nhật)</t>
  </si>
  <si>
    <t>Âm = thấp hơn lãi gửi tham chiếu (02 mục A)</t>
  </si>
  <si>
    <t>G. GIỚI HẠN MÔ HÌNH</t>
  </si>
  <si>
    <t>1. Biên gộp của phần bán cho Vinamilk (mV) 10% là ước của người viết (12/10/2026), không có nguồn công bố (bản trước dùng 5%; hồi quy 3 năm cho số âm). Đổi mV chỉ dịch biên của B; EBIT 12 tháng vẫn khớp. mV 5–15% → kỳ vọng 27.239–26.398 đ/cp.</t>
  </si>
  <si>
    <t>Chốt 13/10/2026: giữ 336 tỷ cả ba kịch bản = 1.120 × 30% như phương án 2022 — chưa có nghị quyết thu nhỏ du lịch. Bản trước: cơ sở 150, tốt 100 (tự đặt theo lời chủ tịch ĐHĐCĐ 20/04/2026). Lãi du lịch B15:D15 giữ nguyên.</t>
  </si>
  <si>
    <t>Chốt 12/10/2026: cơ sở 3 năm nữa, chạy đầu 2030 — theo lời chủ tịch ĐHĐCĐ 20/04/2026 ("2,3 năm tới vẫn đáp ứng") và tiến độ thực (tiền chi cho nhà máy 6 tháng chỉ +0,5 tỷ). Tốt: Q4/2027 theo bản tin NĐT (chi dồn vào 2027). Dùng năm 2028–2032</t>
  </si>
  <si>
    <t>F. CÒN THIẾU — chỉ công ty trả lời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</si>
</sst>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_);\(#,##0.000\)"/>
    <numFmt numFmtId="165" formatCode="#,##0.0_);\(#,##0.0\);&quot;–&quot;_)"/>
    <numFmt numFmtId="166" formatCode="#,##0_);\(#,##0\);&quot;–&quot;_)"/>
    <numFmt numFmtId="167" formatCode="0.00_);\(0.00\)"/>
    <numFmt numFmtId="168" formatCode="0.0%_);\(0.0%\)"/>
    <numFmt numFmtId="169" formatCode="0%_);\(0%\)"/>
    <numFmt numFmtId="170" formatCode="0.00&quot;x&quot;_);\(0.00&quot;x&quot;\)"/>
    <numFmt numFmtId="171" formatCode="0.0&quot;x&quot;_);\(0.0&quot;x&quot;\)"/>
  </numFmts>
  <fonts count="16" x14ac:knownFonts="1">
    <font>
      <sz val="11"/>
      <color theme="1"/>
      <name val="Calibri"/>
      <family val="2"/>
      <scheme val="minor"/>
    </font>
    <font>
      <b/>
      <sz val="14"/>
      <name val="Calibri"/>
    </font>
    <font>
      <i/>
      <sz val="9"/>
      <color rgb="FF595959"/>
      <name val="Calibri"/>
    </font>
    <font>
      <b/>
      <sz val="11"/>
      <color rgb="FFFFFFFF"/>
      <name val="Calibri"/>
    </font>
    <font>
      <b/>
      <sz val="11"/>
      <name val="Calibri"/>
    </font>
    <font>
      <sz val="11"/>
      <color rgb="FF0000FF"/>
      <name val="Calibri"/>
    </font>
    <font>
      <sz val="11"/>
      <color rgb="FF00703C"/>
      <name val="Calibri"/>
    </font>
    <font>
      <b/>
      <sz val="11"/>
      <color rgb="FF00703C"/>
      <name val="Calibri"/>
    </font>
    <font>
      <b/>
      <sz val="12"/>
      <name val="Calibri"/>
    </font>
    <font>
      <b/>
      <sz val="11"/>
      <color rgb="FF1F3864"/>
      <name val="Calibri"/>
    </font>
    <font>
      <b/>
      <sz val="12"/>
      <color rgb="FF00703C"/>
      <name val="Calibri"/>
    </font>
    <font>
      <u/>
      <sz val="11"/>
      <color rgb="FF0563C1"/>
      <name val="Calibri"/>
    </font>
    <font>
      <b/>
      <sz val="12"/>
      <color rgb="FF1F3864"/>
      <name val="Calibri"/>
    </font>
    <font>
      <b/>
      <sz val="9"/>
      <color rgb="FF595959"/>
      <name val="Calibri"/>
    </font>
    <font>
      <b/>
      <sz val="16"/>
      <color rgb="FF1F3864"/>
      <name val="Calibri"/>
    </font>
    <font>
      <i/>
      <sz val="8"/>
      <color rgb="FF595959"/>
      <name val="Calibri"/>
    </font>
  </fonts>
  <fills count="7">
    <fill>
      <patternFill patternType="none"/>
    </fill>
    <fill>
      <patternFill patternType="gray125"/>
    </fill>
    <fill>
      <patternFill patternType="solid">
        <fgColor rgb="FF1F3864"/>
      </patternFill>
    </fill>
    <fill>
      <patternFill patternType="solid">
        <fgColor rgb="FFD9E1F2"/>
      </patternFill>
    </fill>
    <fill>
      <patternFill patternType="solid">
        <fgColor rgb="FFE2EFDA"/>
      </patternFill>
    </fill>
    <fill>
      <patternFill patternType="solid">
        <fgColor rgb="FFFFF2CC"/>
      </patternFill>
    </fill>
    <fill>
      <patternFill patternType="solid">
        <fgColor rgb="FFF2F2F2"/>
      </patternFill>
    </fill>
  </fills>
  <borders count="6">
    <border>
      <left/>
      <right/>
      <top/>
      <bottom/>
      <diagonal/>
    </border>
    <border>
      <left/>
      <right/>
      <top/>
      <bottom style="thin">
        <color rgb="FF1F3864"/>
      </bottom>
      <diagonal/>
    </border>
    <border>
      <left/>
      <right/>
      <top style="thin">
        <color rgb="FFA6A6A6"/>
      </top>
      <bottom/>
      <diagonal/>
    </border>
    <border>
      <left style="thin">
        <color rgb="FFA6A6A6"/>
      </left>
      <right style="thin">
        <color rgb="FFA6A6A6"/>
      </right>
      <top style="thin">
        <color rgb="FFA6A6A6"/>
      </top>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s>
  <cellStyleXfs count="1">
    <xf numFmtId="0" fontId="0" fillId="0" borderId="0"/>
  </cellStyleXfs>
  <cellXfs count="92">
    <xf numFmtId="0" fontId="0" fillId="0" borderId="0" xfId="0"/>
    <xf numFmtId="0" fontId="1" fillId="0" borderId="0" xfId="0" applyFont="1" applyAlignment="1">
      <alignment vertical="center"/>
    </xf>
    <xf numFmtId="0" fontId="9" fillId="0" borderId="0" xfId="0" applyFont="1" applyAlignment="1">
      <alignment vertical="center"/>
    </xf>
    <xf numFmtId="0" fontId="2" fillId="0" borderId="0" xfId="0" applyFont="1" applyAlignment="1">
      <alignment vertical="top"/>
    </xf>
    <xf numFmtId="0" fontId="12" fillId="0" borderId="0" xfId="0" applyFont="1" applyAlignment="1">
      <alignment vertical="center"/>
    </xf>
    <xf numFmtId="0" fontId="13" fillId="6" borderId="3" xfId="0" applyFont="1" applyFill="1" applyBorder="1" applyAlignment="1">
      <alignment horizontal="center" vertical="center" wrapText="1"/>
    </xf>
    <xf numFmtId="166" fontId="14" fillId="6" borderId="4" xfId="0" applyNumberFormat="1" applyFont="1" applyFill="1" applyBorder="1" applyAlignment="1">
      <alignment horizontal="center" vertical="center" wrapText="1"/>
    </xf>
    <xf numFmtId="168" fontId="14" fillId="6" borderId="4" xfId="0" applyNumberFormat="1" applyFont="1" applyFill="1" applyBorder="1" applyAlignment="1">
      <alignment horizontal="center" vertical="center" wrapText="1"/>
    </xf>
    <xf numFmtId="0" fontId="15" fillId="6" borderId="5" xfId="0" applyFont="1" applyFill="1" applyBorder="1" applyAlignment="1">
      <alignment horizontal="center" vertical="center" wrapText="1"/>
    </xf>
    <xf numFmtId="0" fontId="4" fillId="0" borderId="0" xfId="0" applyFont="1" applyAlignment="1">
      <alignment vertical="center"/>
    </xf>
    <xf numFmtId="0" fontId="7" fillId="0" borderId="0" xfId="0" applyFont="1" applyAlignment="1">
      <alignment vertical="center"/>
    </xf>
    <xf numFmtId="0" fontId="3" fillId="2" borderId="0" xfId="0" applyFont="1" applyFill="1" applyAlignment="1">
      <alignment vertical="center"/>
    </xf>
    <xf numFmtId="0" fontId="3" fillId="2" borderId="0" xfId="0" applyFont="1" applyFill="1"/>
    <xf numFmtId="0" fontId="4" fillId="3" borderId="1" xfId="0" applyFont="1" applyFill="1" applyBorder="1" applyAlignment="1">
      <alignment vertical="center" wrapText="1"/>
    </xf>
    <xf numFmtId="0" fontId="0" fillId="0" borderId="0" xfId="0" applyAlignment="1">
      <alignment vertical="center"/>
    </xf>
    <xf numFmtId="166" fontId="6" fillId="0" borderId="0" xfId="0" applyNumberFormat="1" applyFont="1" applyAlignment="1">
      <alignment vertical="center"/>
    </xf>
    <xf numFmtId="169" fontId="6" fillId="0" borderId="0" xfId="0" applyNumberFormat="1" applyFont="1" applyAlignment="1">
      <alignment vertical="center"/>
    </xf>
    <xf numFmtId="0" fontId="2" fillId="0" borderId="0" xfId="0" applyFont="1" applyAlignment="1">
      <alignment vertical="center"/>
    </xf>
    <xf numFmtId="166" fontId="7" fillId="5" borderId="2" xfId="0" applyNumberFormat="1" applyFont="1" applyFill="1" applyBorder="1" applyAlignment="1">
      <alignment vertical="center"/>
    </xf>
    <xf numFmtId="168" fontId="6" fillId="0" borderId="0" xfId="0" applyNumberFormat="1" applyFont="1" applyAlignment="1">
      <alignment vertical="center"/>
    </xf>
    <xf numFmtId="0" fontId="8" fillId="0" borderId="0" xfId="0" applyFont="1" applyAlignment="1">
      <alignment vertical="center"/>
    </xf>
    <xf numFmtId="166" fontId="10" fillId="5" borderId="0" xfId="0" applyNumberFormat="1" applyFont="1" applyFill="1" applyAlignment="1">
      <alignment vertical="center"/>
    </xf>
    <xf numFmtId="170" fontId="6" fillId="0" borderId="0" xfId="0" applyNumberFormat="1" applyFont="1" applyAlignment="1">
      <alignment vertical="center"/>
    </xf>
    <xf numFmtId="166" fontId="7" fillId="5" borderId="0" xfId="0" applyNumberFormat="1" applyFont="1" applyFill="1" applyAlignment="1">
      <alignment vertical="center"/>
    </xf>
    <xf numFmtId="165" fontId="7" fillId="5" borderId="0" xfId="0" applyNumberFormat="1" applyFont="1" applyFill="1" applyAlignment="1">
      <alignment vertical="center"/>
    </xf>
    <xf numFmtId="168" fontId="7" fillId="5" borderId="0" xfId="0" applyNumberFormat="1" applyFont="1" applyFill="1" applyAlignment="1">
      <alignment vertical="center"/>
    </xf>
    <xf numFmtId="0" fontId="4" fillId="3" borderId="1" xfId="0" applyFont="1" applyFill="1" applyBorder="1" applyAlignment="1">
      <alignment horizontal="right" vertical="center" wrapText="1"/>
    </xf>
    <xf numFmtId="165" fontId="6" fillId="0" borderId="0" xfId="0" applyNumberFormat="1" applyFont="1" applyAlignment="1">
      <alignment vertical="center"/>
    </xf>
    <xf numFmtId="0" fontId="11" fillId="0" borderId="0" xfId="0" applyFont="1" applyAlignment="1">
      <alignment vertical="center"/>
    </xf>
    <xf numFmtId="166" fontId="0" fillId="0" borderId="0" xfId="0" applyNumberFormat="1" applyAlignment="1">
      <alignment vertical="center"/>
    </xf>
    <xf numFmtId="164" fontId="5" fillId="4" borderId="0" xfId="0" applyNumberFormat="1" applyFont="1" applyFill="1" applyAlignment="1">
      <alignment vertical="center"/>
    </xf>
    <xf numFmtId="164" fontId="4" fillId="5" borderId="0" xfId="0" applyNumberFormat="1" applyFont="1" applyFill="1" applyAlignment="1">
      <alignment vertical="center"/>
    </xf>
    <xf numFmtId="165" fontId="5" fillId="4" borderId="0" xfId="0" applyNumberFormat="1" applyFont="1" applyFill="1" applyAlignment="1">
      <alignment vertical="center"/>
    </xf>
    <xf numFmtId="164" fontId="0" fillId="5" borderId="0" xfId="0" applyNumberFormat="1" applyFill="1" applyAlignment="1">
      <alignment vertical="center"/>
    </xf>
    <xf numFmtId="166" fontId="5" fillId="4" borderId="0" xfId="0" applyNumberFormat="1" applyFont="1" applyFill="1" applyAlignment="1">
      <alignment vertical="center"/>
    </xf>
    <xf numFmtId="0" fontId="5" fillId="4" borderId="0" xfId="0" applyFont="1" applyFill="1" applyAlignment="1">
      <alignment vertical="center"/>
    </xf>
    <xf numFmtId="165" fontId="0" fillId="5" borderId="0" xfId="0" applyNumberFormat="1" applyFill="1" applyAlignment="1">
      <alignment vertical="center"/>
    </xf>
    <xf numFmtId="165" fontId="4" fillId="5" borderId="0" xfId="0" applyNumberFormat="1" applyFont="1" applyFill="1" applyAlignment="1">
      <alignment vertical="center"/>
    </xf>
    <xf numFmtId="0" fontId="2" fillId="0" borderId="0" xfId="0" applyFont="1" applyAlignment="1">
      <alignment vertical="center" wrapText="1"/>
    </xf>
    <xf numFmtId="167" fontId="0" fillId="5" borderId="0" xfId="0" applyNumberFormat="1" applyFill="1" applyAlignment="1">
      <alignment vertical="center"/>
    </xf>
    <xf numFmtId="168" fontId="0" fillId="5" borderId="0" xfId="0" applyNumberFormat="1" applyFill="1" applyAlignment="1">
      <alignment vertical="center"/>
    </xf>
    <xf numFmtId="169" fontId="0" fillId="5" borderId="0" xfId="0" applyNumberFormat="1" applyFill="1" applyAlignment="1">
      <alignment vertical="center"/>
    </xf>
    <xf numFmtId="166" fontId="4" fillId="5" borderId="0" xfId="0" applyNumberFormat="1" applyFont="1" applyFill="1" applyAlignment="1">
      <alignment vertical="center"/>
    </xf>
    <xf numFmtId="165" fontId="0" fillId="0" borderId="0" xfId="0" applyNumberFormat="1" applyAlignment="1">
      <alignment vertical="center"/>
    </xf>
    <xf numFmtId="168" fontId="4" fillId="5" borderId="0" xfId="0" applyNumberFormat="1" applyFont="1" applyFill="1" applyAlignment="1">
      <alignment vertical="center"/>
    </xf>
    <xf numFmtId="168" fontId="5" fillId="4" borderId="0" xfId="0" applyNumberFormat="1" applyFont="1" applyFill="1" applyAlignment="1">
      <alignment vertical="center"/>
    </xf>
    <xf numFmtId="170" fontId="5" fillId="4" borderId="0" xfId="0" applyNumberFormat="1" applyFont="1" applyFill="1" applyAlignment="1">
      <alignment vertical="center"/>
    </xf>
    <xf numFmtId="2" fontId="5" fillId="4" borderId="0" xfId="0" applyNumberFormat="1" applyFont="1" applyFill="1" applyAlignment="1">
      <alignment vertical="center"/>
    </xf>
    <xf numFmtId="169" fontId="5" fillId="4" borderId="0" xfId="0" applyNumberFormat="1" applyFont="1" applyFill="1" applyAlignment="1">
      <alignment vertical="center"/>
    </xf>
    <xf numFmtId="165" fontId="6" fillId="5" borderId="0" xfId="0" applyNumberFormat="1" applyFont="1" applyFill="1" applyAlignment="1">
      <alignment vertical="center"/>
    </xf>
    <xf numFmtId="168" fontId="6" fillId="5" borderId="0" xfId="0" applyNumberFormat="1" applyFont="1" applyFill="1" applyAlignment="1">
      <alignment vertical="center"/>
    </xf>
    <xf numFmtId="0" fontId="4" fillId="3" borderId="0" xfId="0" applyFont="1" applyFill="1" applyAlignment="1">
      <alignment vertical="center"/>
    </xf>
    <xf numFmtId="0" fontId="4" fillId="3" borderId="0" xfId="0" applyFont="1" applyFill="1"/>
    <xf numFmtId="171" fontId="5" fillId="4" borderId="0" xfId="0" applyNumberFormat="1" applyFont="1" applyFill="1" applyAlignment="1">
      <alignment vertical="center"/>
    </xf>
    <xf numFmtId="171" fontId="6" fillId="5" borderId="0" xfId="0" applyNumberFormat="1" applyFont="1" applyFill="1" applyAlignment="1">
      <alignment vertical="center"/>
    </xf>
    <xf numFmtId="166" fontId="6" fillId="5" borderId="0" xfId="0" applyNumberFormat="1" applyFont="1" applyFill="1" applyAlignment="1">
      <alignment vertical="center"/>
    </xf>
    <xf numFmtId="0" fontId="2" fillId="0" borderId="0" xfId="0" applyFont="1" applyAlignment="1">
      <alignment vertical="top" wrapText="1"/>
    </xf>
    <xf numFmtId="168" fontId="0" fillId="0" borderId="0" xfId="0" applyNumberFormat="1" applyAlignment="1">
      <alignment vertical="center"/>
    </xf>
    <xf numFmtId="171" fontId="6" fillId="0" borderId="0" xfId="0" applyNumberFormat="1" applyFont="1" applyAlignment="1">
      <alignment vertical="center"/>
    </xf>
    <xf numFmtId="171" fontId="0" fillId="0" borderId="0" xfId="0" applyNumberFormat="1" applyAlignment="1">
      <alignment vertical="center"/>
    </xf>
    <xf numFmtId="169" fontId="0" fillId="0" borderId="0" xfId="0" applyNumberFormat="1" applyAlignment="1">
      <alignment vertical="center"/>
    </xf>
    <xf numFmtId="1" fontId="6" fillId="0" borderId="0" xfId="0" applyNumberFormat="1" applyFont="1" applyAlignment="1">
      <alignment vertical="center"/>
    </xf>
    <xf numFmtId="1" fontId="0" fillId="0" borderId="0" xfId="0" applyNumberFormat="1" applyAlignment="1">
      <alignment vertical="center"/>
    </xf>
    <xf numFmtId="1" fontId="5" fillId="4" borderId="0" xfId="0" applyNumberFormat="1" applyFont="1" applyFill="1" applyAlignment="1">
      <alignment vertical="center"/>
    </xf>
    <xf numFmtId="2" fontId="6" fillId="0" borderId="0" xfId="0" applyNumberFormat="1" applyFont="1" applyAlignment="1">
      <alignment vertical="center"/>
    </xf>
    <xf numFmtId="2" fontId="0" fillId="0" borderId="0" xfId="0" applyNumberFormat="1" applyAlignment="1">
      <alignment vertical="center"/>
    </xf>
    <xf numFmtId="168" fontId="4" fillId="0" borderId="2" xfId="0" applyNumberFormat="1" applyFont="1" applyBorder="1" applyAlignment="1">
      <alignment vertical="center"/>
    </xf>
    <xf numFmtId="165" fontId="4" fillId="0" borderId="2" xfId="0" applyNumberFormat="1" applyFont="1" applyBorder="1" applyAlignment="1">
      <alignment vertical="center"/>
    </xf>
    <xf numFmtId="165" fontId="4" fillId="5" borderId="2" xfId="0" applyNumberFormat="1" applyFont="1" applyFill="1" applyBorder="1" applyAlignment="1">
      <alignment vertical="center"/>
    </xf>
    <xf numFmtId="167" fontId="0" fillId="0" borderId="0" xfId="0" applyNumberFormat="1" applyAlignment="1">
      <alignment vertical="center"/>
    </xf>
    <xf numFmtId="165" fontId="7" fillId="0" borderId="2" xfId="0" applyNumberFormat="1" applyFont="1" applyBorder="1" applyAlignment="1">
      <alignment vertical="center"/>
    </xf>
    <xf numFmtId="166" fontId="4" fillId="0" borderId="2" xfId="0" applyNumberFormat="1" applyFont="1" applyBorder="1" applyAlignment="1">
      <alignment vertical="center"/>
    </xf>
    <xf numFmtId="170" fontId="0" fillId="0" borderId="0" xfId="0" applyNumberFormat="1" applyAlignment="1">
      <alignment vertical="center"/>
    </xf>
    <xf numFmtId="166" fontId="4" fillId="5" borderId="2" xfId="0" applyNumberFormat="1" applyFont="1" applyFill="1" applyBorder="1" applyAlignment="1">
      <alignment vertical="center"/>
    </xf>
    <xf numFmtId="166" fontId="8" fillId="5" borderId="0" xfId="0" applyNumberFormat="1" applyFont="1" applyFill="1" applyAlignment="1">
      <alignment vertical="center"/>
    </xf>
    <xf numFmtId="168" fontId="7" fillId="3" borderId="0" xfId="0" applyNumberFormat="1" applyFont="1" applyFill="1" applyAlignment="1">
      <alignment horizontal="center" vertical="center"/>
    </xf>
    <xf numFmtId="165" fontId="7" fillId="3" borderId="0" xfId="0" applyNumberFormat="1" applyFont="1" applyFill="1" applyAlignment="1">
      <alignment horizontal="center" vertical="center"/>
    </xf>
    <xf numFmtId="166" fontId="7" fillId="3" borderId="0" xfId="0" applyNumberFormat="1" applyFont="1" applyFill="1" applyAlignment="1">
      <alignment horizontal="center" vertical="center"/>
    </xf>
    <xf numFmtId="166" fontId="7" fillId="0" borderId="0" xfId="0" applyNumberFormat="1" applyFont="1" applyAlignment="1">
      <alignment vertical="center"/>
    </xf>
    <xf numFmtId="1" fontId="6" fillId="5" borderId="0" xfId="0" applyNumberFormat="1" applyFont="1" applyFill="1" applyAlignment="1">
      <alignment vertical="center"/>
    </xf>
    <xf numFmtId="2" fontId="6" fillId="5" borderId="0" xfId="0" applyNumberFormat="1" applyFont="1" applyFill="1" applyAlignment="1">
      <alignment vertical="center"/>
    </xf>
    <xf numFmtId="0" fontId="3" fillId="2" borderId="0" xfId="0" applyFont="1" applyFill="1" applyAlignment="1">
      <alignment vertical="top"/>
    </xf>
    <xf numFmtId="170" fontId="7" fillId="0" borderId="0" xfId="0" applyNumberFormat="1" applyFont="1" applyAlignment="1">
      <alignment vertical="center"/>
    </xf>
    <xf numFmtId="168" fontId="7" fillId="0" borderId="0" xfId="0" applyNumberFormat="1" applyFont="1" applyAlignment="1">
      <alignment vertical="center"/>
    </xf>
    <xf numFmtId="170" fontId="7" fillId="5" borderId="0" xfId="0" applyNumberFormat="1" applyFont="1" applyFill="1" applyAlignment="1">
      <alignment vertical="center"/>
    </xf>
    <xf numFmtId="167" fontId="7" fillId="5" borderId="0" xfId="0" applyNumberFormat="1" applyFont="1" applyFill="1" applyAlignment="1">
      <alignment vertical="center"/>
    </xf>
    <xf numFmtId="167" fontId="4" fillId="5" borderId="0" xfId="0" applyNumberFormat="1" applyFont="1" applyFill="1" applyAlignment="1">
      <alignment vertical="center"/>
    </xf>
    <xf numFmtId="170" fontId="4" fillId="5" borderId="0" xfId="0" applyNumberFormat="1" applyFont="1" applyFill="1" applyAlignment="1">
      <alignment vertical="center"/>
    </xf>
    <xf numFmtId="165" fontId="5" fillId="4" borderId="0" xfId="0" applyNumberFormat="1" applyFont="1" applyFill="1"/>
    <xf numFmtId="165" fontId="7" fillId="0" borderId="0" xfId="0" applyNumberFormat="1" applyFont="1" applyAlignment="1">
      <alignment vertical="center"/>
    </xf>
    <xf numFmtId="0" fontId="0" fillId="0" borderId="0" xfId="0"/>
    <xf numFmtId="0" fontId="2" fillId="0" borderId="0" xfId="0" applyFont="1" applyAlignment="1">
      <alignment vertical="center" wrapText="1"/>
    </xf>
  </cellXfs>
  <cellStyles count="1">
    <cellStyle name="Normal" xfId="0" builtinId="0"/>
  </cellStyles>
  <dxfs count="7">
    <dxf>
      <fill>
        <patternFill patternType="solid">
          <fgColor rgb="FFFCE4D6"/>
          <bgColor rgb="FFFCE4D6"/>
        </patternFill>
      </fill>
    </dxf>
    <dxf>
      <fill>
        <patternFill patternType="solid">
          <fgColor rgb="FFFCE4D6"/>
          <bgColor rgb="FFFCE4D6"/>
        </patternFill>
      </fill>
    </dxf>
    <dxf>
      <fill>
        <patternFill patternType="solid">
          <fgColor rgb="FFFCE4D6"/>
          <bgColor rgb="FFFCE4D6"/>
        </patternFill>
      </fill>
    </dxf>
    <dxf>
      <fill>
        <patternFill patternType="solid">
          <fgColor rgb="FFFCE4D6"/>
          <bgColor rgb="FFFCE4D6"/>
        </patternFill>
      </fill>
    </dxf>
    <dxf>
      <fill>
        <patternFill patternType="solid">
          <fgColor rgb="FFFCE4D6"/>
          <bgColor rgb="FFFCE4D6"/>
        </patternFill>
      </fill>
    </dxf>
    <dxf>
      <fill>
        <patternFill patternType="solid">
          <fgColor rgb="FFFCE4D6"/>
          <bgColor rgb="FFFCE4D6"/>
        </patternFill>
      </fill>
    </dxf>
    <dxf>
      <fill>
        <patternFill patternType="solid">
          <fgColor rgb="FFE2EFDA"/>
          <bgColor rgb="FFE2EF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'00_Tổng hợp'!$A$190</c:f>
              <c:strCache>
                <c:ptCount val="1"/>
                <c:pt idx="0">
                  <c:v>Giá trị (cơ sở)</c:v>
                </c:pt>
              </c:strCache>
            </c:strRef>
          </c:tx>
          <c:spPr>
            <a:solidFill>
              <a:srgbClr val="9DC3E6"/>
            </a:solidFill>
            <a:ln>
              <a:noFill/>
              <a:prstDash val="solid"/>
            </a:ln>
          </c:spPr>
          <c:invertIfNegative val="0"/>
          <c:dLbls>
            <c:numFmt formatCode="#,##0" sourceLinked="0"/>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'00_Tổng hợp'!$B$189:$H$189</c:f>
              <c:strCache>
                <c:ptCount val="7"/>
                <c:pt idx="0">
                  <c:v>P/E lõi</c:v>
                </c:pt>
                <c:pt idx="1">
                  <c:v>DCF</c:v>
                </c:pt>
                <c:pt idx="2">
                  <c:v>Cổ tức</c:v>
                </c:pt>
                <c:pt idx="3">
                  <c:v>P/B-ROE</c:v>
                </c:pt>
                <c:pt idx="4">
                  <c:v>EV/EBITDA</c:v>
                </c:pt>
                <c:pt idx="5">
                  <c:v>Bình quân</c:v>
                </c:pt>
                <c:pt idx="6">
                  <c:v>Kỳ vọng</c:v>
                </c:pt>
              </c:strCache>
            </c:strRef>
          </c:cat>
          <c:val>
            <c:numRef>
              <c:f>'00_Tổng hợp'!$B$190:$H$190</c:f>
              <c:numCache>
                <c:formatCode>#,##0_);\(#,##0\);"–"_)</c:formatCode>
                <c:ptCount val="7"/>
                <c:pt idx="0">
                  <c:v>25370.484576298069</c:v>
                </c:pt>
                <c:pt idx="1">
                  <c:v>25471.704682489966</c:v>
                </c:pt>
                <c:pt idx="2">
                  <c:v>22128.462089490855</c:v>
                </c:pt>
                <c:pt idx="3">
                  <c:v>18858.334973027948</c:v>
                </c:pt>
                <c:pt idx="4">
                  <c:v>25241.008218966559</c:v>
                </c:pt>
                <c:pt idx="5">
                  <c:v>25471.704682489966</c:v>
                </c:pt>
                <c:pt idx="6">
                  <c:v>26818.698406227712</c:v>
                </c:pt>
              </c:numCache>
            </c:numRef>
          </c:val>
          <c:extLst>
            <c:ext xmlns:c16="http://schemas.microsoft.com/office/drawing/2014/chart" uri="{C3380CC4-5D6E-409C-BE32-E72D297353CC}">
              <c16:uniqueId val="{00000000-0907-43DF-A4D2-0F8B086434E9}"/>
            </c:ext>
          </c:extLst>
        </c:ser>
        <c:dLbls>
          <c:dLblPos val="ctr"/>
          <c:showLegendKey val="0"/>
          <c:showVal val="1"/>
          <c:showCatName val="0"/>
          <c:showSerName val="0"/>
          <c:showPercent val="0"/>
          <c:showBubbleSize val="0"/>
        </c:dLbls>
        <c:gapWidth val="60"/>
        <c:axId val="10"/>
        <c:axId val="100"/>
      </c:barChart>
      <c:lineChart>
        <c:grouping val="standard"/>
        <c:varyColors val="0"/>
        <c:ser>
          <c:idx val="1"/>
          <c:order val="1"/>
          <c:tx>
            <c:strRef>
              <c:f>'00_Tổng hợp'!$A$191</c:f>
              <c:strCache>
                <c:ptCount val="1"/>
                <c:pt idx="0">
                  <c:v>Giá thị trường</c:v>
                </c:pt>
              </c:strCache>
            </c:strRef>
          </c:tx>
          <c:spPr>
            <a:ln w="22000">
              <a:solidFill>
                <a:srgbClr val="404040"/>
              </a:solidFill>
              <a:prstDash val="dash"/>
            </a:ln>
          </c:spPr>
          <c:marker>
            <c:symbol val="none"/>
          </c:marker>
          <c:val>
            <c:numRef>
              <c:f>'00_Tổng hợp'!$B$191:$H$191</c:f>
              <c:numCache>
                <c:formatCode>#,##0_);\(#,##0\);"–"_)</c:formatCode>
                <c:ptCount val="7"/>
                <c:pt idx="0">
                  <c:v>26450</c:v>
                </c:pt>
                <c:pt idx="1">
                  <c:v>26450</c:v>
                </c:pt>
                <c:pt idx="2">
                  <c:v>26450</c:v>
                </c:pt>
                <c:pt idx="3">
                  <c:v>26450</c:v>
                </c:pt>
                <c:pt idx="4">
                  <c:v>26450</c:v>
                </c:pt>
                <c:pt idx="5">
                  <c:v>26450</c:v>
                </c:pt>
                <c:pt idx="6">
                  <c:v>26450</c:v>
                </c:pt>
              </c:numCache>
            </c:numRef>
          </c:val>
          <c:smooth val="0"/>
          <c:extLst>
            <c:ext xmlns:c16="http://schemas.microsoft.com/office/drawing/2014/chart" uri="{C3380CC4-5D6E-409C-BE32-E72D297353CC}">
              <c16:uniqueId val="{00000001-0907-43DF-A4D2-0F8B086434E9}"/>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26</xdr:row>
      <xdr:rowOff>0</xdr:rowOff>
    </xdr:from>
    <xdr:ext cx="7920000" cy="306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H191"/>
  <sheetViews>
    <sheetView showGridLines="0" tabSelected="1" zoomScale="90" workbookViewId="0"/>
  </sheetViews>
  <sheetFormatPr defaultRowHeight="14.4" x14ac:dyDescent="0.3"/>
  <cols>
    <col min="1" max="1" width="52" customWidth="1"/>
    <col min="2" max="5" width="17" customWidth="1"/>
    <col min="6" max="6" width="70" customWidth="1"/>
  </cols>
  <sheetData>
    <row r="1" spans="1:6" ht="18" x14ac:dyDescent="0.3">
      <c r="A1" s="1" t="s">
        <v>834</v>
      </c>
    </row>
    <row r="2" spans="1:6" x14ac:dyDescent="0.3">
      <c r="A2" s="2" t="s">
        <v>854</v>
      </c>
    </row>
    <row r="3" spans="1:6" x14ac:dyDescent="0.3">
      <c r="A3" s="3" t="s">
        <v>0</v>
      </c>
    </row>
    <row r="5" spans="1:6" ht="15.6" x14ac:dyDescent="0.3">
      <c r="A5" s="4" t="s">
        <v>1</v>
      </c>
      <c r="B5" s="5" t="s">
        <v>2</v>
      </c>
      <c r="C5" s="5" t="s">
        <v>835</v>
      </c>
      <c r="D5" s="5" t="s">
        <v>836</v>
      </c>
      <c r="E5" s="5" t="s">
        <v>3</v>
      </c>
    </row>
    <row r="6" spans="1:6" ht="26.1" customHeight="1" x14ac:dyDescent="0.3">
      <c r="B6" s="6">
        <f>'01_Số liệu gốc'!$B$11</f>
        <v>26450</v>
      </c>
      <c r="C6" s="6">
        <f>C16</f>
        <v>25471.704682489966</v>
      </c>
      <c r="D6" s="6">
        <f>B21</f>
        <v>26818.698406227712</v>
      </c>
      <c r="E6" s="7">
        <f>B22</f>
        <v>1.3747811345762195E-2</v>
      </c>
    </row>
    <row r="7" spans="1:6" ht="20.399999999999999" x14ac:dyDescent="0.3">
      <c r="B7" s="8" t="str">
        <f>"Phiên "&amp;'01_Số liệu gốc'!$B$12</f>
        <v>Phiên 08/10/2026</v>
      </c>
      <c r="C7" s="8" t="str">
        <f>"DCF + tiền × "&amp;TEXT((1-'02_Giả định'!$B$26)*100,"0")&amp;"% + dự án"</f>
        <v>DCF + tiền × 90% + dự án</v>
      </c>
      <c r="D7" s="8" t="s">
        <v>837</v>
      </c>
      <c r="E7" s="8" t="s">
        <v>4</v>
      </c>
    </row>
    <row r="8" spans="1:6" x14ac:dyDescent="0.3">
      <c r="A8" s="9" t="s">
        <v>5</v>
      </c>
      <c r="B8" s="10" t="str">
        <f>IF(AND(OR(LEFT('01_Số liệu gốc'!$D$10,4)="KHỚP",LEFT('01_Số liệu gốc'!$D$10,3)="ĐẠT"),OR(LEFT('01_Số liệu gốc'!$I$36,4)="KHỚP",LEFT('01_Số liệu gốc'!$I$36,3)="ĐẠT"),OR(LEFT('01_Số liệu gốc'!$I$71,4)="KHỚP",LEFT('01_Số liệu gốc'!$I$71,3)="ĐẠT"),OR(LEFT('02_Giả định'!$C$24,4)="KHỚP",LEFT('02_Giả định'!$C$24,3)="ĐẠT"),OR(LEFT('02_Giả định'!$C$45,4)="KHỚP",LEFT('02_Giả định'!$C$45,3)="ĐẠT"),OR(LEFT('02_Giả định'!$C$74,4)="KHỚP",LEFT('02_Giả định'!$C$74,3)="ĐẠT"),OR(LEFT('03_Định giá'!$H$253,4)="KHỚP",LEFT('03_Định giá'!$H$253,3)="ĐẠT"),OR(LEFT('05_Đối chiếu'!$C$26,4)="KHỚP",LEFT('05_Đối chiếu'!$C$26,3)="ĐẠT"),OR(LEFT('05_Đối chiếu'!$C$27,4)="KHỚP",LEFT('05_Đối chiếu'!$C$27,3)="ĐẠT"),LEFT('06_Dự án'!$G$21,3)="ĐẠT"),"ĐẠT — 10 phép tự kiểm đều khớp","CÓ PHÉP KIỂM LỆCH — tìm ô báo LỆCH hoặc SAI ở từng sheet")</f>
        <v>ĐẠT — 10 phép tự kiểm đều khớp</v>
      </c>
    </row>
    <row r="9" spans="1:6" x14ac:dyDescent="0.3">
      <c r="A9" s="11" t="s">
        <v>6</v>
      </c>
      <c r="B9" s="12"/>
      <c r="C9" s="12"/>
      <c r="D9" s="12"/>
      <c r="E9" s="12"/>
      <c r="F9" s="12"/>
    </row>
    <row r="10" spans="1:6" x14ac:dyDescent="0.3">
      <c r="A10" s="13" t="s">
        <v>7</v>
      </c>
      <c r="B10" s="13" t="s">
        <v>8</v>
      </c>
      <c r="C10" s="13" t="s">
        <v>9</v>
      </c>
      <c r="D10" s="13" t="s">
        <v>10</v>
      </c>
      <c r="E10" s="13" t="s">
        <v>11</v>
      </c>
      <c r="F10" s="13" t="s">
        <v>12</v>
      </c>
    </row>
    <row r="11" spans="1:6" x14ac:dyDescent="0.3">
      <c r="A11" s="14" t="s">
        <v>13</v>
      </c>
      <c r="B11" s="15">
        <f>'03_Định giá'!$B$215</f>
        <v>18179.512674484929</v>
      </c>
      <c r="C11" s="15">
        <f>'03_Định giá'!$C$215</f>
        <v>25370.484576298069</v>
      </c>
      <c r="D11" s="15">
        <f>'03_Định giá'!$D$215</f>
        <v>37132.350185235206</v>
      </c>
      <c r="E11" s="16">
        <f>'02_Giả định'!$B$19</f>
        <v>0</v>
      </c>
      <c r="F11" s="17" t="s">
        <v>840</v>
      </c>
    </row>
    <row r="12" spans="1:6" x14ac:dyDescent="0.3">
      <c r="A12" s="14" t="s">
        <v>14</v>
      </c>
      <c r="B12" s="15">
        <f>'03_Định giá'!$B$233</f>
        <v>17205.761196744115</v>
      </c>
      <c r="C12" s="15">
        <f>'03_Định giá'!$C$233</f>
        <v>25471.704682489966</v>
      </c>
      <c r="D12" s="15">
        <f>'03_Định giá'!$D$233</f>
        <v>39125.623063186795</v>
      </c>
      <c r="E12" s="16">
        <f>'02_Giả định'!$B$20</f>
        <v>1</v>
      </c>
      <c r="F12" s="17" t="s">
        <v>841</v>
      </c>
    </row>
    <row r="13" spans="1:6" x14ac:dyDescent="0.3">
      <c r="A13" s="14" t="s">
        <v>15</v>
      </c>
      <c r="B13" s="15">
        <f>'03_Định giá'!$B$242</f>
        <v>9922.1707561689946</v>
      </c>
      <c r="C13" s="15">
        <f>'03_Định giá'!$C$242</f>
        <v>22128.462089490855</v>
      </c>
      <c r="D13" s="15">
        <f>'03_Định giá'!$D$242</f>
        <v>37180.273362533844</v>
      </c>
      <c r="E13" s="16">
        <f>'02_Giả định'!$B$21</f>
        <v>0</v>
      </c>
      <c r="F13" s="17" t="s">
        <v>842</v>
      </c>
    </row>
    <row r="14" spans="1:6" x14ac:dyDescent="0.3">
      <c r="A14" s="14" t="s">
        <v>16</v>
      </c>
      <c r="B14" s="15">
        <f>'03_Định giá'!$B$224</f>
        <v>14239.967224531309</v>
      </c>
      <c r="C14" s="15">
        <f>'03_Định giá'!$C$224</f>
        <v>18858.334973027948</v>
      </c>
      <c r="D14" s="15">
        <f>'03_Định giá'!$D$224</f>
        <v>24631.294658648752</v>
      </c>
      <c r="E14" s="16">
        <f>'02_Giả định'!$B$22</f>
        <v>0</v>
      </c>
      <c r="F14" s="17" t="s">
        <v>843</v>
      </c>
    </row>
    <row r="15" spans="1:6" x14ac:dyDescent="0.3">
      <c r="A15" s="14" t="s">
        <v>17</v>
      </c>
      <c r="B15" s="15">
        <f>'03_Định giá'!$B$220</f>
        <v>19704.207274016597</v>
      </c>
      <c r="C15" s="15">
        <f>'03_Định giá'!$C$220</f>
        <v>25241.008218966559</v>
      </c>
      <c r="D15" s="15">
        <f>'03_Định giá'!$D$220</f>
        <v>35335.96857535965</v>
      </c>
      <c r="E15" s="16">
        <f>'02_Giả định'!$B$23</f>
        <v>0</v>
      </c>
      <c r="F15" s="17" t="s">
        <v>844</v>
      </c>
    </row>
    <row r="16" spans="1:6" x14ac:dyDescent="0.3">
      <c r="A16" s="9" t="s">
        <v>838</v>
      </c>
      <c r="B16" s="18">
        <f>'03_Định giá'!$B$250</f>
        <v>17205.761196744115</v>
      </c>
      <c r="C16" s="18">
        <f>'03_Định giá'!$C$250</f>
        <v>25471.704682489966</v>
      </c>
      <c r="D16" s="18">
        <f>'03_Định giá'!$D$250</f>
        <v>39125.623063186795</v>
      </c>
    </row>
    <row r="17" spans="1:6" x14ac:dyDescent="0.3">
      <c r="A17" s="14" t="s">
        <v>18</v>
      </c>
      <c r="B17" s="19">
        <f>B16/'01_Số liệu gốc'!$B$11-1</f>
        <v>-0.34949863150305804</v>
      </c>
      <c r="C17" s="19">
        <f>C16/'01_Số liệu gốc'!$B$11-1</f>
        <v>-3.6986590454065604E-2</v>
      </c>
      <c r="D17" s="19">
        <f>D16/'01_Số liệu gốc'!$B$11-1</f>
        <v>0.47922960541348947</v>
      </c>
    </row>
    <row r="18" spans="1:6" x14ac:dyDescent="0.3">
      <c r="A18" s="14" t="s">
        <v>19</v>
      </c>
      <c r="B18" s="16">
        <f>'03_Định giá'!$B$254</f>
        <v>0.25</v>
      </c>
      <c r="C18" s="16">
        <f>'03_Định giá'!$C$254</f>
        <v>0.5</v>
      </c>
      <c r="D18" s="16">
        <f>'03_Định giá'!$D$254</f>
        <v>0.25</v>
      </c>
      <c r="F18" s="17" t="s">
        <v>20</v>
      </c>
    </row>
    <row r="20" spans="1:6" x14ac:dyDescent="0.3">
      <c r="A20" s="14" t="s">
        <v>2</v>
      </c>
      <c r="B20" s="15">
        <f>'01_Số liệu gốc'!$B$11</f>
        <v>26450</v>
      </c>
      <c r="F20" s="17" t="str">
        <f>"Phiên "&amp;'01_Số liệu gốc'!$B$12</f>
        <v>Phiên 08/10/2026</v>
      </c>
    </row>
    <row r="21" spans="1:6" ht="15.6" x14ac:dyDescent="0.3">
      <c r="A21" s="20" t="s">
        <v>839</v>
      </c>
      <c r="B21" s="21">
        <f>'03_Định giá'!$B$257</f>
        <v>26818.698406227712</v>
      </c>
      <c r="F21" s="17" t="s">
        <v>22</v>
      </c>
    </row>
    <row r="22" spans="1:6" x14ac:dyDescent="0.3">
      <c r="A22" s="14" t="s">
        <v>23</v>
      </c>
      <c r="B22" s="19">
        <f>'03_Định giá'!$B$259</f>
        <v>1.3747811345762195E-2</v>
      </c>
    </row>
    <row r="23" spans="1:6" x14ac:dyDescent="0.3">
      <c r="A23" s="14" t="s">
        <v>24</v>
      </c>
      <c r="B23" s="22">
        <f>'03_Định giá'!$B$260</f>
        <v>3.9884128274342436E-2</v>
      </c>
      <c r="F23" s="17" t="s">
        <v>25</v>
      </c>
    </row>
    <row r="24" spans="1:6" x14ac:dyDescent="0.3">
      <c r="A24" s="14" t="s">
        <v>26</v>
      </c>
      <c r="B24" s="22">
        <f>'03_Định giá'!$C$251</f>
        <v>1.3506868299306785</v>
      </c>
      <c r="F24" s="17" t="s">
        <v>845</v>
      </c>
    </row>
    <row r="26" spans="1:6" x14ac:dyDescent="0.3">
      <c r="A26" s="11" t="s">
        <v>855</v>
      </c>
      <c r="B26" s="12"/>
      <c r="C26" s="12"/>
      <c r="D26" s="12"/>
      <c r="E26" s="12"/>
      <c r="F26" s="12"/>
    </row>
    <row r="46" spans="1:6" x14ac:dyDescent="0.3">
      <c r="A46" s="11" t="s">
        <v>856</v>
      </c>
      <c r="B46" s="12"/>
      <c r="C46" s="12"/>
      <c r="D46" s="12"/>
      <c r="E46" s="12"/>
      <c r="F46" s="12"/>
    </row>
    <row r="47" spans="1:6" x14ac:dyDescent="0.3">
      <c r="A47" s="9" t="s">
        <v>29</v>
      </c>
      <c r="B47" s="23">
        <f>'03_Định giá'!$C$210</f>
        <v>12713.972727272727</v>
      </c>
      <c r="C47" s="17" t="s">
        <v>846</v>
      </c>
    </row>
    <row r="48" spans="1:6" x14ac:dyDescent="0.3">
      <c r="A48" s="9" t="s">
        <v>30</v>
      </c>
      <c r="B48" s="23">
        <f>'03_Định giá'!$C$203</f>
        <v>-3343.1450257035735</v>
      </c>
      <c r="C48" s="17" t="s">
        <v>31</v>
      </c>
    </row>
    <row r="49" spans="1:6" x14ac:dyDescent="0.3">
      <c r="A49" s="9" t="s">
        <v>32</v>
      </c>
      <c r="B49" s="24">
        <f>'03_Định giá'!$C$194</f>
        <v>321.41034144096801</v>
      </c>
      <c r="C49" s="17" t="s">
        <v>33</v>
      </c>
    </row>
    <row r="50" spans="1:6" x14ac:dyDescent="0.3">
      <c r="A50" s="9" t="s">
        <v>34</v>
      </c>
      <c r="B50" s="25">
        <f>'02_Giả định'!$B$10</f>
        <v>0.11223999999999999</v>
      </c>
      <c r="C50" s="17" t="s">
        <v>35</v>
      </c>
    </row>
    <row r="51" spans="1:6" x14ac:dyDescent="0.3">
      <c r="A51" s="9" t="s">
        <v>36</v>
      </c>
      <c r="B51" s="25">
        <f>'05_Đối chiếu'!$B$23</f>
        <v>0.11645266382729148</v>
      </c>
      <c r="C51" s="17" t="s">
        <v>857</v>
      </c>
    </row>
    <row r="52" spans="1:6" x14ac:dyDescent="0.3">
      <c r="A52" s="9" t="s">
        <v>37</v>
      </c>
      <c r="B52" s="25">
        <f>'05_Đối chiếu'!$B$24</f>
        <v>8.4702502524308582E-2</v>
      </c>
      <c r="C52" s="17" t="str">
        <f>"So lãi gửi tham chiếu "&amp;TEXT('02_Giả định'!$B$17*100,"0.0")&amp;"% (khoản lớn, thực nhận)"</f>
        <v>So lãi gửi tham chiếu 9.0% (khoản lớn, thực nhận)</v>
      </c>
    </row>
    <row r="53" spans="1:6" x14ac:dyDescent="0.3">
      <c r="A53" s="9" t="s">
        <v>38</v>
      </c>
      <c r="B53" s="24">
        <f>'02_Giả định'!$B$53</f>
        <v>48.164720077968667</v>
      </c>
      <c r="C53" s="17" t="s">
        <v>39</v>
      </c>
    </row>
    <row r="55" spans="1:6" x14ac:dyDescent="0.3">
      <c r="A55" s="11" t="s">
        <v>858</v>
      </c>
      <c r="B55" s="12"/>
      <c r="C55" s="12"/>
      <c r="D55" s="12"/>
      <c r="E55" s="12"/>
      <c r="F55" s="12"/>
    </row>
    <row r="56" spans="1:6" x14ac:dyDescent="0.3">
      <c r="A56" s="13" t="s">
        <v>40</v>
      </c>
      <c r="B56" s="26" t="s">
        <v>41</v>
      </c>
      <c r="C56" s="26" t="s">
        <v>42</v>
      </c>
      <c r="D56" s="26" t="s">
        <v>43</v>
      </c>
      <c r="E56" s="26" t="s">
        <v>44</v>
      </c>
      <c r="F56" s="26" t="s">
        <v>45</v>
      </c>
    </row>
    <row r="57" spans="1:6" x14ac:dyDescent="0.3">
      <c r="A57" s="14" t="s">
        <v>46</v>
      </c>
      <c r="B57" s="27">
        <f>'03_Định giá'!$C$83</f>
        <v>704.67899999999997</v>
      </c>
      <c r="C57" s="27">
        <f>'03_Định giá'!$C$107</f>
        <v>355.9615</v>
      </c>
      <c r="D57" s="27">
        <f>'03_Định giá'!$C$131</f>
        <v>355.9615</v>
      </c>
      <c r="E57" s="27">
        <f>'03_Định giá'!$C$155</f>
        <v>0</v>
      </c>
      <c r="F57" s="27">
        <f>'03_Định giá'!$C$179</f>
        <v>0</v>
      </c>
    </row>
    <row r="58" spans="1:6" x14ac:dyDescent="0.3">
      <c r="A58" s="14" t="s">
        <v>47</v>
      </c>
      <c r="B58" s="27">
        <f>'03_Định giá'!$C$93</f>
        <v>165</v>
      </c>
      <c r="C58" s="27">
        <f>'03_Định giá'!$C$117</f>
        <v>165</v>
      </c>
      <c r="D58" s="27">
        <f>'03_Định giá'!$C$141</f>
        <v>165</v>
      </c>
      <c r="E58" s="27">
        <f>'03_Định giá'!$C$165</f>
        <v>165</v>
      </c>
      <c r="F58" s="27">
        <f>'03_Định giá'!$C$189</f>
        <v>165</v>
      </c>
    </row>
    <row r="59" spans="1:6" x14ac:dyDescent="0.3">
      <c r="A59" s="14" t="s">
        <v>48</v>
      </c>
      <c r="B59" s="27">
        <f>'03_Định giá'!$C$92</f>
        <v>301.4223884835576</v>
      </c>
      <c r="C59" s="27">
        <f>'03_Định giá'!$C$116</f>
        <v>307.57784755763561</v>
      </c>
      <c r="D59" s="27">
        <f>'03_Định giá'!$C$140</f>
        <v>298.69946760988233</v>
      </c>
      <c r="E59" s="27">
        <f>'03_Định giá'!$C$164</f>
        <v>334.47676752882262</v>
      </c>
      <c r="F59" s="27">
        <f>'03_Định giá'!$C$188</f>
        <v>347.09733208621947</v>
      </c>
    </row>
    <row r="60" spans="1:6" x14ac:dyDescent="0.3">
      <c r="A60" s="9" t="s">
        <v>49</v>
      </c>
      <c r="B60" s="24">
        <f>'03_Định giá'!$C$95</f>
        <v>798.341099635202</v>
      </c>
      <c r="C60" s="24">
        <f>'03_Định giá'!$C$119</f>
        <v>564.08570093707397</v>
      </c>
      <c r="D60" s="24">
        <f>'03_Định giá'!$C$143</f>
        <v>321.41034144096801</v>
      </c>
      <c r="E60" s="24">
        <f>'03_Định giá'!$C$167</f>
        <v>466.45375046155834</v>
      </c>
      <c r="F60" s="24">
        <f>'03_Định giá'!$C$191</f>
        <v>622.40009713114534</v>
      </c>
    </row>
    <row r="61" spans="1:6" x14ac:dyDescent="0.3">
      <c r="A61" s="17" t="s">
        <v>50</v>
      </c>
    </row>
    <row r="63" spans="1:6" x14ac:dyDescent="0.3">
      <c r="A63" s="11" t="s">
        <v>859</v>
      </c>
      <c r="B63" s="12"/>
      <c r="C63" s="12"/>
      <c r="D63" s="12"/>
      <c r="E63" s="12"/>
      <c r="F63" s="12"/>
    </row>
    <row r="64" spans="1:6" x14ac:dyDescent="0.3">
      <c r="A64" s="14" t="s">
        <v>860</v>
      </c>
    </row>
    <row r="65" spans="1:6" x14ac:dyDescent="0.3">
      <c r="A65" s="14" t="s">
        <v>51</v>
      </c>
    </row>
    <row r="66" spans="1:6" x14ac:dyDescent="0.3">
      <c r="A66" s="14" t="s">
        <v>52</v>
      </c>
    </row>
    <row r="67" spans="1:6" x14ac:dyDescent="0.3">
      <c r="A67" s="14" t="s">
        <v>53</v>
      </c>
    </row>
    <row r="68" spans="1:6" x14ac:dyDescent="0.3">
      <c r="A68" s="14" t="s">
        <v>54</v>
      </c>
    </row>
    <row r="69" spans="1:6" x14ac:dyDescent="0.3">
      <c r="A69" s="14" t="s">
        <v>55</v>
      </c>
    </row>
    <row r="71" spans="1:6" x14ac:dyDescent="0.3">
      <c r="A71" s="11" t="s">
        <v>861</v>
      </c>
      <c r="B71" s="12"/>
      <c r="C71" s="12"/>
      <c r="D71" s="12"/>
      <c r="E71" s="12"/>
      <c r="F71" s="12"/>
    </row>
    <row r="72" spans="1:6" x14ac:dyDescent="0.3">
      <c r="A72" s="28" t="s">
        <v>56</v>
      </c>
      <c r="B72" s="14" t="s">
        <v>57</v>
      </c>
    </row>
    <row r="73" spans="1:6" x14ac:dyDescent="0.3">
      <c r="A73" s="28" t="s">
        <v>58</v>
      </c>
      <c r="B73" s="14" t="s">
        <v>59</v>
      </c>
    </row>
    <row r="74" spans="1:6" x14ac:dyDescent="0.3">
      <c r="A74" s="28" t="s">
        <v>60</v>
      </c>
      <c r="B74" s="14" t="s">
        <v>813</v>
      </c>
    </row>
    <row r="75" spans="1:6" x14ac:dyDescent="0.3">
      <c r="A75" s="28" t="s">
        <v>61</v>
      </c>
      <c r="B75" s="14" t="s">
        <v>62</v>
      </c>
    </row>
    <row r="76" spans="1:6" x14ac:dyDescent="0.3">
      <c r="A76" s="28" t="s">
        <v>63</v>
      </c>
      <c r="B76" s="14" t="s">
        <v>862</v>
      </c>
    </row>
    <row r="77" spans="1:6" x14ac:dyDescent="0.3">
      <c r="A77" s="28" t="s">
        <v>64</v>
      </c>
      <c r="B77" s="14" t="s">
        <v>65</v>
      </c>
    </row>
    <row r="79" spans="1:6" x14ac:dyDescent="0.3">
      <c r="A79" s="11" t="s">
        <v>863</v>
      </c>
      <c r="B79" s="12"/>
      <c r="C79" s="12"/>
      <c r="D79" s="12"/>
      <c r="E79" s="12"/>
      <c r="F79" s="12"/>
    </row>
    <row r="80" spans="1:6" x14ac:dyDescent="0.3">
      <c r="A80" s="9" t="s">
        <v>66</v>
      </c>
      <c r="B80" s="14" t="s">
        <v>67</v>
      </c>
    </row>
    <row r="81" spans="1:2" x14ac:dyDescent="0.3">
      <c r="A81" s="9" t="s">
        <v>68</v>
      </c>
      <c r="B81" s="14" t="s">
        <v>69</v>
      </c>
    </row>
    <row r="82" spans="1:2" x14ac:dyDescent="0.3">
      <c r="A82" s="9" t="s">
        <v>70</v>
      </c>
      <c r="B82" s="14" t="s">
        <v>71</v>
      </c>
    </row>
    <row r="83" spans="1:2" x14ac:dyDescent="0.3">
      <c r="A83" s="9" t="s">
        <v>72</v>
      </c>
      <c r="B83" s="14" t="s">
        <v>73</v>
      </c>
    </row>
    <row r="84" spans="1:2" x14ac:dyDescent="0.3">
      <c r="A84" s="9" t="s">
        <v>74</v>
      </c>
      <c r="B84" s="14" t="s">
        <v>75</v>
      </c>
    </row>
    <row r="85" spans="1:2" x14ac:dyDescent="0.3">
      <c r="A85" s="9" t="s">
        <v>76</v>
      </c>
      <c r="B85" s="14" t="s">
        <v>77</v>
      </c>
    </row>
    <row r="86" spans="1:2" x14ac:dyDescent="0.3">
      <c r="A86" s="9" t="s">
        <v>78</v>
      </c>
      <c r="B86" s="14" t="s">
        <v>79</v>
      </c>
    </row>
    <row r="87" spans="1:2" x14ac:dyDescent="0.3">
      <c r="A87" s="9" t="s">
        <v>80</v>
      </c>
      <c r="B87" s="14" t="s">
        <v>81</v>
      </c>
    </row>
    <row r="88" spans="1:2" x14ac:dyDescent="0.3">
      <c r="A88" s="9" t="s">
        <v>3</v>
      </c>
      <c r="B88" s="14" t="s">
        <v>82</v>
      </c>
    </row>
    <row r="89" spans="1:2" x14ac:dyDescent="0.3">
      <c r="A89" s="9" t="s">
        <v>847</v>
      </c>
      <c r="B89" s="14" t="s">
        <v>848</v>
      </c>
    </row>
    <row r="90" spans="1:2" x14ac:dyDescent="0.3">
      <c r="A90" s="9" t="s">
        <v>849</v>
      </c>
      <c r="B90" s="14" t="s">
        <v>850</v>
      </c>
    </row>
    <row r="188" spans="1:8" x14ac:dyDescent="0.3">
      <c r="A188" s="17" t="s">
        <v>83</v>
      </c>
    </row>
    <row r="189" spans="1:8" x14ac:dyDescent="0.3">
      <c r="A189" s="14" t="s">
        <v>7</v>
      </c>
      <c r="B189" s="14" t="s">
        <v>84</v>
      </c>
      <c r="C189" s="14" t="s">
        <v>85</v>
      </c>
      <c r="D189" s="14" t="s">
        <v>86</v>
      </c>
      <c r="E189" s="14" t="s">
        <v>87</v>
      </c>
      <c r="F189" s="14" t="s">
        <v>88</v>
      </c>
      <c r="G189" s="14" t="s">
        <v>89</v>
      </c>
      <c r="H189" s="14" t="s">
        <v>90</v>
      </c>
    </row>
    <row r="190" spans="1:8" x14ac:dyDescent="0.3">
      <c r="A190" s="14" t="s">
        <v>91</v>
      </c>
      <c r="B190" s="29">
        <f>C11</f>
        <v>25370.484576298069</v>
      </c>
      <c r="C190" s="29">
        <f>C12</f>
        <v>25471.704682489966</v>
      </c>
      <c r="D190" s="29">
        <f>C13</f>
        <v>22128.462089490855</v>
      </c>
      <c r="E190" s="29">
        <f>C14</f>
        <v>18858.334973027948</v>
      </c>
      <c r="F190" s="29">
        <f>C15</f>
        <v>25241.008218966559</v>
      </c>
      <c r="G190" s="29">
        <f>C16</f>
        <v>25471.704682489966</v>
      </c>
      <c r="H190" s="29">
        <f>B21</f>
        <v>26818.698406227712</v>
      </c>
    </row>
    <row r="191" spans="1:8" x14ac:dyDescent="0.3">
      <c r="A191" s="14" t="s">
        <v>92</v>
      </c>
      <c r="B191" s="29">
        <f t="shared" ref="B191:H191" si="0">$B$20</f>
        <v>26450</v>
      </c>
      <c r="C191" s="29">
        <f t="shared" si="0"/>
        <v>26450</v>
      </c>
      <c r="D191" s="29">
        <f t="shared" si="0"/>
        <v>26450</v>
      </c>
      <c r="E191" s="29">
        <f t="shared" si="0"/>
        <v>26450</v>
      </c>
      <c r="F191" s="29">
        <f t="shared" si="0"/>
        <v>26450</v>
      </c>
      <c r="G191" s="29">
        <f t="shared" si="0"/>
        <v>26450</v>
      </c>
      <c r="H191" s="29">
        <f t="shared" si="0"/>
        <v>26450</v>
      </c>
    </row>
  </sheetData>
  <conditionalFormatting sqref="B8">
    <cfRule type="expression" dxfId="6" priority="2">
      <formula>LEFT(B8,3)="ĐẠT"</formula>
    </cfRule>
    <cfRule type="expression" dxfId="5" priority="3">
      <formula>LEFT(B8,3)&lt;&gt;"ĐẠT"</formula>
    </cfRule>
  </conditionalFormatting>
  <conditionalFormatting sqref="B60:F60">
    <cfRule type="expression" dxfId="4" priority="1">
      <formula>B60&lt;0</formula>
    </cfRule>
  </conditionalFormatting>
  <hyperlinks>
    <hyperlink ref="A72" location="'01_Số liệu gốc'!A1" display="01_Số liệu gốc" xr:uid="{00000000-0004-0000-0000-000000000000}"/>
    <hyperlink ref="A73" location="'02_Giả định'!A1" display="02_Giả định" xr:uid="{00000000-0004-0000-0000-000001000000}"/>
    <hyperlink ref="A74" location="'03_Định giá'!A1" display="03_Định giá" xr:uid="{00000000-0004-0000-0000-000002000000}"/>
    <hyperlink ref="A75" location="'04_Độ nhạy'!A1" display="04_Độ nhạy" xr:uid="{00000000-0004-0000-0000-000003000000}"/>
    <hyperlink ref="A76" location="'05_Đối chiếu'!A1" display="05_Đối chiếu" xr:uid="{00000000-0004-0000-0000-000004000000}"/>
    <hyperlink ref="A77" location="'06_Dự án'!A1" display="06_Dự án" xr:uid="{00000000-0004-0000-0000-000005000000}"/>
  </hyperlinks>
  <pageMargins left="0.4" right="0.4" top="0.7" bottom="0.6" header="0.5" footer="0.5"/>
  <pageSetup scale="68" fitToHeight="0" orientation="landscape" r:id="rId1"/>
  <headerFooter>
    <oddHeader>&amp;R&amp;A&amp;LMCM — Định giá DCF + tiền + dự án</oddHeader>
    <oddFooter>&amp;RTrang &amp;P / &amp;N&amp;LFairline Research — bản 13/10/2026</oddFooter>
  </headerFooter>
  <rowBreaks count="2" manualBreakCount="2">
    <brk id="25" max="16383" man="1"/>
    <brk id="70"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F7F7F"/>
    <pageSetUpPr fitToPage="1"/>
  </sheetPr>
  <dimension ref="A1:I139"/>
  <sheetViews>
    <sheetView showGridLines="0" zoomScale="90" workbookViewId="0">
      <pane xSplit="1" ySplit="3" topLeftCell="B4" activePane="bottomRight" state="frozen"/>
      <selection pane="topRight"/>
      <selection pane="bottomLeft"/>
      <selection pane="bottomRight"/>
    </sheetView>
  </sheetViews>
  <sheetFormatPr defaultRowHeight="14.4" x14ac:dyDescent="0.3"/>
  <cols>
    <col min="1" max="1" width="60" customWidth="1"/>
    <col min="2" max="8" width="13" customWidth="1"/>
    <col min="9" max="9" width="72" customWidth="1"/>
  </cols>
  <sheetData>
    <row r="1" spans="1:9" ht="18" x14ac:dyDescent="0.3">
      <c r="A1" s="1" t="s">
        <v>93</v>
      </c>
    </row>
    <row r="2" spans="1:9" x14ac:dyDescent="0.3">
      <c r="A2" s="17" t="s">
        <v>94</v>
      </c>
    </row>
    <row r="4" spans="1:9" x14ac:dyDescent="0.3">
      <c r="A4" s="11" t="s">
        <v>95</v>
      </c>
      <c r="B4" s="12"/>
      <c r="C4" s="12"/>
      <c r="D4" s="12"/>
      <c r="E4" s="12"/>
      <c r="F4" s="12"/>
      <c r="G4" s="12"/>
      <c r="H4" s="12"/>
      <c r="I4" s="12"/>
    </row>
    <row r="5" spans="1:9" ht="28.8" x14ac:dyDescent="0.3">
      <c r="A5" s="13" t="s">
        <v>96</v>
      </c>
      <c r="B5" s="13" t="s">
        <v>97</v>
      </c>
      <c r="C5" s="13" t="s">
        <v>98</v>
      </c>
      <c r="D5" s="13" t="s">
        <v>99</v>
      </c>
      <c r="E5" s="13"/>
      <c r="F5" s="13"/>
      <c r="G5" s="13"/>
      <c r="H5" s="13"/>
      <c r="I5" s="13"/>
    </row>
    <row r="6" spans="1:9" x14ac:dyDescent="0.3">
      <c r="A6" s="14" t="s">
        <v>100</v>
      </c>
      <c r="B6" s="30">
        <v>110</v>
      </c>
      <c r="C6" s="14" t="s">
        <v>101</v>
      </c>
      <c r="D6" s="14" t="s">
        <v>102</v>
      </c>
    </row>
    <row r="7" spans="1:9" x14ac:dyDescent="0.3">
      <c r="A7" s="14" t="s">
        <v>103</v>
      </c>
      <c r="B7" s="30">
        <v>0</v>
      </c>
      <c r="C7" s="14" t="s">
        <v>101</v>
      </c>
      <c r="D7" s="14" t="s">
        <v>104</v>
      </c>
    </row>
    <row r="8" spans="1:9" x14ac:dyDescent="0.3">
      <c r="A8" s="9" t="s">
        <v>105</v>
      </c>
      <c r="B8" s="31">
        <f>B6-B7</f>
        <v>110</v>
      </c>
      <c r="C8" s="14" t="s">
        <v>101</v>
      </c>
      <c r="D8" s="14"/>
    </row>
    <row r="9" spans="1:9" x14ac:dyDescent="0.3">
      <c r="A9" s="14" t="s">
        <v>106</v>
      </c>
      <c r="B9" s="32">
        <v>1100</v>
      </c>
      <c r="C9" s="14" t="s">
        <v>107</v>
      </c>
      <c r="D9" s="14" t="s">
        <v>108</v>
      </c>
    </row>
    <row r="10" spans="1:9" x14ac:dyDescent="0.3">
      <c r="A10" s="14" t="s">
        <v>109</v>
      </c>
      <c r="B10" s="33">
        <f>B9/10</f>
        <v>110</v>
      </c>
      <c r="C10" s="14" t="s">
        <v>101</v>
      </c>
      <c r="D10" s="9" t="str">
        <f>IF(ABS(B10-B6)&lt;0.001,"KHỚP cổ phiếu đã phát hành","LỆCH")</f>
        <v>KHỚP cổ phiếu đã phát hành</v>
      </c>
    </row>
    <row r="11" spans="1:9" x14ac:dyDescent="0.3">
      <c r="A11" s="14" t="s">
        <v>110</v>
      </c>
      <c r="B11" s="34">
        <v>26450</v>
      </c>
      <c r="C11" s="14" t="s">
        <v>111</v>
      </c>
      <c r="D11" s="14" t="s">
        <v>112</v>
      </c>
    </row>
    <row r="12" spans="1:9" x14ac:dyDescent="0.3">
      <c r="A12" s="14" t="s">
        <v>113</v>
      </c>
      <c r="B12" s="35" t="s">
        <v>114</v>
      </c>
    </row>
    <row r="13" spans="1:9" x14ac:dyDescent="0.3">
      <c r="A13" s="14" t="s">
        <v>115</v>
      </c>
      <c r="B13" s="34">
        <v>29400</v>
      </c>
      <c r="C13" s="14" t="s">
        <v>111</v>
      </c>
      <c r="D13" s="14" t="s">
        <v>116</v>
      </c>
    </row>
    <row r="14" spans="1:9" x14ac:dyDescent="0.3">
      <c r="A14" s="14" t="s">
        <v>117</v>
      </c>
      <c r="B14" s="34">
        <v>23744</v>
      </c>
      <c r="C14" s="14" t="s">
        <v>111</v>
      </c>
      <c r="D14" s="14" t="s">
        <v>116</v>
      </c>
    </row>
    <row r="15" spans="1:9" x14ac:dyDescent="0.3">
      <c r="A15" s="14" t="s">
        <v>118</v>
      </c>
      <c r="B15" s="32">
        <v>433.6</v>
      </c>
      <c r="C15" s="14" t="s">
        <v>119</v>
      </c>
      <c r="D15" s="14" t="s">
        <v>120</v>
      </c>
    </row>
    <row r="16" spans="1:9" x14ac:dyDescent="0.3">
      <c r="A16" s="14" t="s">
        <v>121</v>
      </c>
      <c r="B16" s="36">
        <f>B11*B8/1000</f>
        <v>2909.5</v>
      </c>
      <c r="C16" s="14" t="s">
        <v>107</v>
      </c>
      <c r="D16" s="14" t="s">
        <v>122</v>
      </c>
    </row>
    <row r="18" spans="1:9" x14ac:dyDescent="0.3">
      <c r="A18" s="11" t="s">
        <v>123</v>
      </c>
      <c r="B18" s="12"/>
      <c r="C18" s="12"/>
      <c r="D18" s="12"/>
      <c r="E18" s="12"/>
      <c r="F18" s="12"/>
      <c r="G18" s="12"/>
      <c r="H18" s="12"/>
      <c r="I18" s="12"/>
    </row>
    <row r="19" spans="1:9" x14ac:dyDescent="0.3">
      <c r="A19" s="13" t="s">
        <v>124</v>
      </c>
      <c r="B19" s="13" t="s">
        <v>125</v>
      </c>
      <c r="C19" s="13" t="s">
        <v>126</v>
      </c>
      <c r="D19" s="13" t="s">
        <v>127</v>
      </c>
      <c r="E19" s="13" t="s">
        <v>128</v>
      </c>
      <c r="F19" s="13" t="s">
        <v>129</v>
      </c>
      <c r="G19" s="13"/>
      <c r="H19" s="13"/>
      <c r="I19" s="13" t="s">
        <v>130</v>
      </c>
    </row>
    <row r="20" spans="1:9" x14ac:dyDescent="0.3">
      <c r="A20" s="14" t="s">
        <v>131</v>
      </c>
      <c r="B20" s="32">
        <v>2925.6640000000002</v>
      </c>
      <c r="C20" s="32">
        <v>3133.0990000000002</v>
      </c>
      <c r="D20" s="32">
        <v>3135.4229999999998</v>
      </c>
      <c r="E20" s="32">
        <v>2916.9580000000001</v>
      </c>
      <c r="F20" s="32">
        <v>2834.8739999999998</v>
      </c>
      <c r="I20" s="14" t="s">
        <v>132</v>
      </c>
    </row>
    <row r="21" spans="1:9" x14ac:dyDescent="0.3">
      <c r="A21" s="14" t="s">
        <v>133</v>
      </c>
      <c r="B21" s="32">
        <v>898.50300000000004</v>
      </c>
      <c r="C21" s="32">
        <v>1017.789</v>
      </c>
      <c r="D21" s="32">
        <v>1008.6180000000001</v>
      </c>
      <c r="E21" s="32">
        <v>848.54499999999996</v>
      </c>
      <c r="F21" s="32">
        <v>796.98</v>
      </c>
      <c r="I21" s="14" t="s">
        <v>134</v>
      </c>
    </row>
    <row r="22" spans="1:9" x14ac:dyDescent="0.3">
      <c r="A22" s="14" t="s">
        <v>135</v>
      </c>
      <c r="B22" s="32">
        <v>594.25900000000001</v>
      </c>
      <c r="C22" s="32">
        <v>688.74199999999996</v>
      </c>
      <c r="D22" s="32">
        <v>708.87900000000002</v>
      </c>
      <c r="E22" s="32">
        <v>657.04600000000005</v>
      </c>
      <c r="F22" s="32">
        <v>606.61400000000003</v>
      </c>
      <c r="I22" s="14" t="s">
        <v>136</v>
      </c>
    </row>
    <row r="23" spans="1:9" x14ac:dyDescent="0.3">
      <c r="A23" s="14" t="s">
        <v>137</v>
      </c>
      <c r="B23" s="32">
        <v>36.609000000000002</v>
      </c>
      <c r="C23" s="32">
        <v>39.603000000000002</v>
      </c>
      <c r="D23" s="32">
        <v>37.898000000000003</v>
      </c>
      <c r="E23" s="32">
        <v>37.145000000000003</v>
      </c>
      <c r="F23" s="32">
        <v>38.070999999999998</v>
      </c>
      <c r="I23" s="14" t="s">
        <v>138</v>
      </c>
    </row>
    <row r="24" spans="1:9" x14ac:dyDescent="0.3">
      <c r="A24" s="9" t="s">
        <v>139</v>
      </c>
      <c r="B24" s="37">
        <f>B21-B22-B23</f>
        <v>267.63500000000005</v>
      </c>
      <c r="C24" s="37">
        <f>C21-C22-C23</f>
        <v>289.44400000000002</v>
      </c>
      <c r="D24" s="37">
        <f>D21-D22-D23</f>
        <v>261.84100000000001</v>
      </c>
      <c r="E24" s="37">
        <f>E21-E22-E23</f>
        <v>154.3539999999999</v>
      </c>
      <c r="F24" s="37">
        <f>F21-F22-F23</f>
        <v>152.29499999999999</v>
      </c>
      <c r="I24" s="38" t="s">
        <v>140</v>
      </c>
    </row>
    <row r="25" spans="1:9" x14ac:dyDescent="0.3">
      <c r="A25" s="14" t="s">
        <v>141</v>
      </c>
      <c r="B25" s="32">
        <v>95.418999999999997</v>
      </c>
      <c r="C25" s="32">
        <v>103.15600000000001</v>
      </c>
      <c r="D25" s="32">
        <v>162.315</v>
      </c>
      <c r="E25" s="32">
        <v>101.252</v>
      </c>
      <c r="F25" s="32">
        <v>103.916</v>
      </c>
      <c r="I25" s="14" t="s">
        <v>142</v>
      </c>
    </row>
    <row r="26" spans="1:9" x14ac:dyDescent="0.3">
      <c r="A26" s="14" t="s">
        <v>143</v>
      </c>
      <c r="B26" s="32">
        <v>0.5</v>
      </c>
      <c r="C26" s="32">
        <v>0.996</v>
      </c>
      <c r="D26" s="32">
        <v>0.88100000000000001</v>
      </c>
      <c r="E26" s="32">
        <v>1.8979999999999999</v>
      </c>
      <c r="F26" s="32">
        <v>6.0039999999999996</v>
      </c>
      <c r="I26" s="14" t="s">
        <v>144</v>
      </c>
    </row>
    <row r="27" spans="1:9" x14ac:dyDescent="0.3">
      <c r="A27" s="14" t="s">
        <v>145</v>
      </c>
      <c r="B27" s="32">
        <v>0.16300000000000001</v>
      </c>
      <c r="C27" s="32">
        <v>0.63600000000000001</v>
      </c>
      <c r="D27" s="32">
        <v>0</v>
      </c>
      <c r="E27" s="32">
        <v>1.732</v>
      </c>
      <c r="F27" s="32">
        <v>5.7060000000000004</v>
      </c>
      <c r="I27" s="14" t="s">
        <v>146</v>
      </c>
    </row>
    <row r="28" spans="1:9" x14ac:dyDescent="0.3">
      <c r="A28" s="14" t="s">
        <v>147</v>
      </c>
      <c r="B28" s="32">
        <v>-8.7959999999999994</v>
      </c>
      <c r="C28" s="32">
        <v>-10.917</v>
      </c>
      <c r="D28" s="32">
        <v>0.30499999999999999</v>
      </c>
      <c r="E28" s="32">
        <v>-1.6519999999999999</v>
      </c>
      <c r="F28" s="32">
        <v>-1.673</v>
      </c>
      <c r="I28" s="14" t="s">
        <v>148</v>
      </c>
    </row>
    <row r="29" spans="1:9" x14ac:dyDescent="0.3">
      <c r="A29" s="9" t="s">
        <v>149</v>
      </c>
      <c r="B29" s="32">
        <v>353.75799999999998</v>
      </c>
      <c r="C29" s="32">
        <v>380.68700000000001</v>
      </c>
      <c r="D29" s="32">
        <v>423.58</v>
      </c>
      <c r="E29" s="32">
        <v>252.05699999999999</v>
      </c>
      <c r="F29" s="32">
        <v>248.53399999999999</v>
      </c>
      <c r="I29" s="14" t="s">
        <v>150</v>
      </c>
    </row>
    <row r="30" spans="1:9" x14ac:dyDescent="0.3">
      <c r="A30" s="14" t="s">
        <v>151</v>
      </c>
      <c r="B30" s="32">
        <v>34.646000000000001</v>
      </c>
      <c r="C30" s="32">
        <v>34.137999999999998</v>
      </c>
      <c r="D30" s="32">
        <v>49.161999999999999</v>
      </c>
      <c r="E30" s="32">
        <v>32.136000000000003</v>
      </c>
      <c r="F30" s="32">
        <v>32.82</v>
      </c>
      <c r="I30" s="14" t="s">
        <v>152</v>
      </c>
    </row>
    <row r="31" spans="1:9" x14ac:dyDescent="0.3">
      <c r="A31" s="9" t="s">
        <v>153</v>
      </c>
      <c r="B31" s="32">
        <v>319.11200000000002</v>
      </c>
      <c r="C31" s="32">
        <v>346.54899999999998</v>
      </c>
      <c r="D31" s="32">
        <v>374.41699999999997</v>
      </c>
      <c r="E31" s="32">
        <v>219.92099999999999</v>
      </c>
      <c r="F31" s="32">
        <v>215.714</v>
      </c>
      <c r="I31" s="14" t="s">
        <v>154</v>
      </c>
    </row>
    <row r="32" spans="1:9" x14ac:dyDescent="0.3">
      <c r="A32" s="14" t="s">
        <v>155</v>
      </c>
      <c r="B32" s="32">
        <v>49.921999999999997</v>
      </c>
      <c r="C32" s="32">
        <v>54.459000000000003</v>
      </c>
      <c r="D32" s="32">
        <v>62.040999999999997</v>
      </c>
      <c r="E32" s="32">
        <v>67.010000000000005</v>
      </c>
      <c r="F32" s="32">
        <v>68.763000000000005</v>
      </c>
      <c r="I32" s="14" t="s">
        <v>156</v>
      </c>
    </row>
    <row r="33" spans="1:9" x14ac:dyDescent="0.3">
      <c r="A33" s="14" t="s">
        <v>157</v>
      </c>
      <c r="B33" s="32">
        <v>230.26</v>
      </c>
      <c r="C33" s="32">
        <v>268.49299999999999</v>
      </c>
      <c r="D33" s="32">
        <v>287.49</v>
      </c>
      <c r="E33" s="32">
        <v>196.059</v>
      </c>
      <c r="F33" s="32">
        <v>180.85400000000001</v>
      </c>
      <c r="I33" s="14" t="s">
        <v>158</v>
      </c>
    </row>
    <row r="34" spans="1:9" x14ac:dyDescent="0.3">
      <c r="A34" s="14" t="s">
        <v>159</v>
      </c>
      <c r="B34" s="32">
        <v>-151.34899999999999</v>
      </c>
      <c r="C34" s="32">
        <v>-139.44300000000001</v>
      </c>
      <c r="D34" s="32">
        <v>-246.393</v>
      </c>
      <c r="E34" s="32">
        <v>-93.477999999999994</v>
      </c>
      <c r="F34" s="32">
        <v>-174.15199999999999</v>
      </c>
      <c r="I34" s="14" t="s">
        <v>160</v>
      </c>
    </row>
    <row r="35" spans="1:9" x14ac:dyDescent="0.3">
      <c r="A35" s="14" t="s">
        <v>161</v>
      </c>
      <c r="B35" s="32">
        <v>-309.01600000000002</v>
      </c>
      <c r="C35" s="32">
        <v>-274.94799999999998</v>
      </c>
      <c r="D35" s="32">
        <v>-220.10499999999999</v>
      </c>
      <c r="E35" s="32">
        <v>-220</v>
      </c>
      <c r="F35" s="32">
        <v>-220</v>
      </c>
      <c r="I35" s="14" t="s">
        <v>162</v>
      </c>
    </row>
    <row r="36" spans="1:9" x14ac:dyDescent="0.3">
      <c r="A36" s="14" t="s">
        <v>163</v>
      </c>
      <c r="B36" s="39">
        <f>B24+B25-B26+B28-B29</f>
        <v>0</v>
      </c>
      <c r="C36" s="39">
        <f>C24+C25-C26+C28-C29</f>
        <v>0</v>
      </c>
      <c r="D36" s="39">
        <f>D24+D25-D26+D28-D29</f>
        <v>0</v>
      </c>
      <c r="E36" s="39">
        <f>E24+E25-E26+E28-E29</f>
        <v>-1.00000000009004E-3</v>
      </c>
      <c r="F36" s="39">
        <f>F24+F25-F26+F28-F29</f>
        <v>0</v>
      </c>
      <c r="I36" s="9" t="str">
        <f>IF(MAX(ABS(B36),ABS(C36),ABS(D36),ABS(E36),ABS(F36))&lt;0.5,"KHỚP (dung sai 0,5 tỷ — làm tròn DB)","LỆCH")</f>
        <v>KHỚP (dung sai 0,5 tỷ — làm tròn DB)</v>
      </c>
    </row>
    <row r="37" spans="1:9" ht="24" x14ac:dyDescent="0.3">
      <c r="A37" s="14" t="s">
        <v>164</v>
      </c>
      <c r="B37" s="40">
        <f>B30/B29</f>
        <v>9.793700778498296E-2</v>
      </c>
      <c r="C37" s="40">
        <f>C30/C29</f>
        <v>8.9674719651577278E-2</v>
      </c>
      <c r="D37" s="40">
        <f>D30/D29</f>
        <v>0.11606308135417159</v>
      </c>
      <c r="E37" s="40">
        <f>E30/E29</f>
        <v>0.12749497137552221</v>
      </c>
      <c r="F37" s="40">
        <f>F30/F29</f>
        <v>0.13205436680695601</v>
      </c>
      <c r="I37" s="38" t="s">
        <v>165</v>
      </c>
    </row>
    <row r="38" spans="1:9" x14ac:dyDescent="0.3">
      <c r="A38" s="14" t="s">
        <v>166</v>
      </c>
      <c r="B38" s="41">
        <f>B25/B29</f>
        <v>0.26972958915416756</v>
      </c>
      <c r="C38" s="41">
        <f>C25/C29</f>
        <v>0.2709732667519511</v>
      </c>
      <c r="D38" s="41">
        <f>D25/D29</f>
        <v>0.38319797913027054</v>
      </c>
      <c r="E38" s="41">
        <f>E25/E29</f>
        <v>0.40170278944841842</v>
      </c>
      <c r="F38" s="41">
        <f>F25/F29</f>
        <v>0.4181158312343583</v>
      </c>
      <c r="I38" s="38" t="s">
        <v>167</v>
      </c>
    </row>
    <row r="40" spans="1:9" x14ac:dyDescent="0.3">
      <c r="A40" s="11" t="s">
        <v>168</v>
      </c>
      <c r="B40" s="12"/>
      <c r="C40" s="12"/>
      <c r="D40" s="12"/>
      <c r="E40" s="12"/>
      <c r="F40" s="12"/>
      <c r="G40" s="12"/>
      <c r="H40" s="12"/>
      <c r="I40" s="12"/>
    </row>
    <row r="41" spans="1:9" x14ac:dyDescent="0.3">
      <c r="A41" s="13" t="s">
        <v>124</v>
      </c>
      <c r="B41" s="13" t="s">
        <v>169</v>
      </c>
      <c r="C41" s="13" t="s">
        <v>170</v>
      </c>
      <c r="D41" s="13" t="s">
        <v>171</v>
      </c>
      <c r="E41" s="13" t="s">
        <v>172</v>
      </c>
      <c r="F41" s="13" t="s">
        <v>173</v>
      </c>
      <c r="G41" s="13" t="s">
        <v>174</v>
      </c>
      <c r="H41" s="13" t="s">
        <v>175</v>
      </c>
      <c r="I41" s="13" t="s">
        <v>130</v>
      </c>
    </row>
    <row r="42" spans="1:9" ht="24" x14ac:dyDescent="0.3">
      <c r="A42" s="14" t="s">
        <v>131</v>
      </c>
      <c r="B42" s="32">
        <v>591.15099999999995</v>
      </c>
      <c r="C42" s="32">
        <v>808.70899999999995</v>
      </c>
      <c r="D42" s="32">
        <v>716.23400000000004</v>
      </c>
      <c r="E42" s="32">
        <v>721.2</v>
      </c>
      <c r="F42" s="32">
        <v>741.55</v>
      </c>
      <c r="G42" s="32">
        <v>760.45399999999995</v>
      </c>
      <c r="H42" s="36">
        <f>F20-B42-C42+F42+G42</f>
        <v>2937.018</v>
      </c>
      <c r="I42" s="38" t="s">
        <v>176</v>
      </c>
    </row>
    <row r="43" spans="1:9" ht="24" x14ac:dyDescent="0.3">
      <c r="A43" s="14" t="s">
        <v>133</v>
      </c>
      <c r="B43" s="32">
        <v>145.482</v>
      </c>
      <c r="C43" s="32">
        <v>236.99</v>
      </c>
      <c r="D43" s="32">
        <v>202.18700000000001</v>
      </c>
      <c r="E43" s="32">
        <v>209.54300000000001</v>
      </c>
      <c r="F43" s="32">
        <v>212.41399999999999</v>
      </c>
      <c r="G43" s="32">
        <v>235.899</v>
      </c>
      <c r="H43" s="36">
        <f>F21-B43-C43+F43+G43</f>
        <v>862.82100000000003</v>
      </c>
      <c r="I43" s="38" t="s">
        <v>864</v>
      </c>
    </row>
    <row r="44" spans="1:9" x14ac:dyDescent="0.3">
      <c r="A44" s="14" t="s">
        <v>135</v>
      </c>
      <c r="B44" s="32">
        <v>102.32299999999999</v>
      </c>
      <c r="C44" s="32">
        <v>169.006</v>
      </c>
      <c r="D44" s="32">
        <v>182.05799999999999</v>
      </c>
      <c r="E44" s="32">
        <v>153.227</v>
      </c>
      <c r="F44" s="32">
        <v>138.01400000000001</v>
      </c>
      <c r="G44" s="32">
        <v>156.07900000000001</v>
      </c>
      <c r="H44" s="36">
        <f>F22-B44-C44+F44+G44</f>
        <v>629.37800000000016</v>
      </c>
      <c r="I44" s="38" t="s">
        <v>177</v>
      </c>
    </row>
    <row r="45" spans="1:9" x14ac:dyDescent="0.3">
      <c r="A45" s="14" t="s">
        <v>137</v>
      </c>
      <c r="B45" s="32">
        <v>10.348000000000001</v>
      </c>
      <c r="C45" s="32">
        <v>8.9719999999999995</v>
      </c>
      <c r="D45" s="32">
        <v>8.2479999999999993</v>
      </c>
      <c r="E45" s="32">
        <v>10.503</v>
      </c>
      <c r="F45" s="32">
        <v>9.32</v>
      </c>
      <c r="G45" s="32">
        <v>9.6620000000000008</v>
      </c>
      <c r="H45" s="36">
        <f>F23-B45-C45+F45+G45</f>
        <v>37.732999999999997</v>
      </c>
      <c r="I45" s="14" t="s">
        <v>138</v>
      </c>
    </row>
    <row r="46" spans="1:9" x14ac:dyDescent="0.3">
      <c r="A46" s="9" t="s">
        <v>178</v>
      </c>
      <c r="B46" s="37">
        <f t="shared" ref="B46:H46" si="0">B43-B44-B45</f>
        <v>32.811000000000007</v>
      </c>
      <c r="C46" s="37">
        <f t="shared" si="0"/>
        <v>59.012000000000008</v>
      </c>
      <c r="D46" s="37">
        <f t="shared" si="0"/>
        <v>11.88100000000002</v>
      </c>
      <c r="E46" s="37">
        <f t="shared" si="0"/>
        <v>45.813000000000002</v>
      </c>
      <c r="F46" s="37">
        <f t="shared" si="0"/>
        <v>65.079999999999984</v>
      </c>
      <c r="G46" s="37">
        <f t="shared" si="0"/>
        <v>70.157999999999987</v>
      </c>
      <c r="H46" s="37">
        <f t="shared" si="0"/>
        <v>195.70999999999987</v>
      </c>
    </row>
    <row r="47" spans="1:9" x14ac:dyDescent="0.3">
      <c r="A47" s="14" t="s">
        <v>179</v>
      </c>
      <c r="B47" s="32">
        <v>24.492999999999999</v>
      </c>
      <c r="C47" s="32">
        <v>27.658999999999999</v>
      </c>
      <c r="D47" s="32">
        <v>25.931999999999999</v>
      </c>
      <c r="E47" s="32">
        <v>25.832999999999998</v>
      </c>
      <c r="F47" s="32">
        <v>25.326000000000001</v>
      </c>
      <c r="G47" s="32">
        <v>27.978999999999999</v>
      </c>
      <c r="H47" s="36">
        <f>F25-B47-C47+F47+G47</f>
        <v>105.069</v>
      </c>
      <c r="I47" s="14" t="s">
        <v>142</v>
      </c>
    </row>
    <row r="48" spans="1:9" x14ac:dyDescent="0.3">
      <c r="A48" s="14" t="s">
        <v>180</v>
      </c>
      <c r="B48" s="32">
        <v>1.1659999999999999</v>
      </c>
      <c r="C48" s="32">
        <v>1.9810000000000001</v>
      </c>
      <c r="D48" s="32">
        <v>1.6919999999999999</v>
      </c>
      <c r="E48" s="32">
        <v>0.86799999999999999</v>
      </c>
      <c r="F48" s="32">
        <v>0.34100000000000003</v>
      </c>
      <c r="G48" s="32">
        <v>0</v>
      </c>
      <c r="H48" s="36">
        <f>F27-B48-C48+F48+G48</f>
        <v>2.9000000000000012</v>
      </c>
      <c r="I48" s="14" t="s">
        <v>146</v>
      </c>
    </row>
    <row r="49" spans="1:9" x14ac:dyDescent="0.3">
      <c r="A49" s="14" t="s">
        <v>149</v>
      </c>
      <c r="B49" s="32">
        <v>54.673000000000002</v>
      </c>
      <c r="C49" s="32">
        <v>86.522999999999996</v>
      </c>
      <c r="D49" s="32">
        <v>34.450000000000003</v>
      </c>
      <c r="E49" s="32">
        <v>72.887</v>
      </c>
      <c r="F49" s="32">
        <v>90.096999999999994</v>
      </c>
      <c r="G49" s="32">
        <v>98.144999999999996</v>
      </c>
      <c r="H49" s="36">
        <f t="shared" ref="H49:H54" si="1">F29-B49-C49+F49+G49</f>
        <v>295.58</v>
      </c>
      <c r="I49" s="14" t="s">
        <v>150</v>
      </c>
    </row>
    <row r="50" spans="1:9" x14ac:dyDescent="0.3">
      <c r="A50" s="14" t="s">
        <v>151</v>
      </c>
      <c r="B50" s="32">
        <v>6.9050000000000002</v>
      </c>
      <c r="C50" s="32">
        <v>10.781000000000001</v>
      </c>
      <c r="D50" s="32">
        <v>6.3860000000000001</v>
      </c>
      <c r="E50" s="32">
        <v>8.7479999999999993</v>
      </c>
      <c r="F50" s="32">
        <v>9.9779999999999998</v>
      </c>
      <c r="G50" s="32">
        <v>9.6379999999999999</v>
      </c>
      <c r="H50" s="36">
        <f t="shared" si="1"/>
        <v>34.75</v>
      </c>
      <c r="I50" s="14" t="s">
        <v>152</v>
      </c>
    </row>
    <row r="51" spans="1:9" x14ac:dyDescent="0.3">
      <c r="A51" s="9" t="s">
        <v>153</v>
      </c>
      <c r="B51" s="32">
        <v>47.768000000000001</v>
      </c>
      <c r="C51" s="32">
        <v>75.742000000000004</v>
      </c>
      <c r="D51" s="32">
        <v>28.064</v>
      </c>
      <c r="E51" s="32">
        <v>64.138999999999996</v>
      </c>
      <c r="F51" s="32">
        <v>80.119</v>
      </c>
      <c r="G51" s="32">
        <v>88.507000000000005</v>
      </c>
      <c r="H51" s="37">
        <f t="shared" si="1"/>
        <v>260.83</v>
      </c>
      <c r="I51" s="14" t="s">
        <v>154</v>
      </c>
    </row>
    <row r="52" spans="1:9" x14ac:dyDescent="0.3">
      <c r="A52" s="14" t="s">
        <v>155</v>
      </c>
      <c r="B52" s="32">
        <v>16.928000000000001</v>
      </c>
      <c r="C52" s="32">
        <v>17.224</v>
      </c>
      <c r="D52" s="32">
        <v>17.335000000000001</v>
      </c>
      <c r="E52" s="32">
        <v>17.276</v>
      </c>
      <c r="F52" s="32">
        <v>17.744</v>
      </c>
      <c r="G52" s="32">
        <v>17.71</v>
      </c>
      <c r="H52" s="36">
        <f t="shared" si="1"/>
        <v>70.064999999999998</v>
      </c>
      <c r="I52" s="14" t="s">
        <v>156</v>
      </c>
    </row>
    <row r="53" spans="1:9" x14ac:dyDescent="0.3">
      <c r="A53" s="14" t="s">
        <v>157</v>
      </c>
      <c r="B53" s="32">
        <v>-9.6690000000000005</v>
      </c>
      <c r="C53" s="32">
        <v>56.28</v>
      </c>
      <c r="D53" s="32">
        <v>136.87299999999999</v>
      </c>
      <c r="E53" s="32">
        <v>-0.112</v>
      </c>
      <c r="F53" s="32">
        <v>1.69</v>
      </c>
      <c r="G53" s="32">
        <v>96.414000000000001</v>
      </c>
      <c r="H53" s="36">
        <f t="shared" si="1"/>
        <v>232.34700000000004</v>
      </c>
      <c r="I53" s="14" t="s">
        <v>158</v>
      </c>
    </row>
    <row r="54" spans="1:9" x14ac:dyDescent="0.3">
      <c r="A54" s="14" t="s">
        <v>159</v>
      </c>
      <c r="B54" s="32">
        <v>-55.521000000000001</v>
      </c>
      <c r="C54" s="32">
        <v>-38.423000000000002</v>
      </c>
      <c r="D54" s="32">
        <v>-62.847000000000001</v>
      </c>
      <c r="E54" s="32">
        <v>-17.36</v>
      </c>
      <c r="F54" s="32">
        <v>-67.533000000000001</v>
      </c>
      <c r="G54" s="32">
        <v>-52.732999999999997</v>
      </c>
      <c r="H54" s="36">
        <f t="shared" si="1"/>
        <v>-200.47399999999999</v>
      </c>
      <c r="I54" s="14" t="s">
        <v>160</v>
      </c>
    </row>
    <row r="56" spans="1:9" x14ac:dyDescent="0.3">
      <c r="A56" s="11" t="s">
        <v>181</v>
      </c>
      <c r="B56" s="12"/>
      <c r="C56" s="12"/>
      <c r="D56" s="12"/>
      <c r="E56" s="12"/>
      <c r="F56" s="12"/>
      <c r="G56" s="12"/>
      <c r="H56" s="12"/>
      <c r="I56" s="12"/>
    </row>
    <row r="57" spans="1:9" x14ac:dyDescent="0.3">
      <c r="A57" s="13" t="s">
        <v>124</v>
      </c>
      <c r="B57" s="13" t="s">
        <v>182</v>
      </c>
      <c r="C57" s="13" t="s">
        <v>183</v>
      </c>
      <c r="D57" s="13"/>
      <c r="E57" s="13"/>
      <c r="F57" s="13"/>
      <c r="G57" s="13"/>
      <c r="H57" s="13"/>
      <c r="I57" s="13" t="s">
        <v>99</v>
      </c>
    </row>
    <row r="58" spans="1:9" x14ac:dyDescent="0.3">
      <c r="A58" s="14" t="s">
        <v>184</v>
      </c>
      <c r="B58" s="32">
        <v>36.951000000000001</v>
      </c>
      <c r="C58" s="32">
        <v>68.747</v>
      </c>
      <c r="I58" s="14" t="s">
        <v>185</v>
      </c>
    </row>
    <row r="59" spans="1:9" x14ac:dyDescent="0.3">
      <c r="A59" s="14" t="s">
        <v>186</v>
      </c>
      <c r="B59" s="32">
        <v>1485.127</v>
      </c>
      <c r="C59" s="32">
        <v>1329.79</v>
      </c>
      <c r="I59" s="14" t="s">
        <v>187</v>
      </c>
    </row>
    <row r="60" spans="1:9" x14ac:dyDescent="0.3">
      <c r="A60" s="14" t="s">
        <v>188</v>
      </c>
      <c r="B60" s="32">
        <v>25</v>
      </c>
      <c r="C60" s="32">
        <v>0</v>
      </c>
      <c r="I60" s="14" t="s">
        <v>189</v>
      </c>
    </row>
    <row r="61" spans="1:9" x14ac:dyDescent="0.3">
      <c r="A61" s="14" t="s">
        <v>190</v>
      </c>
      <c r="B61" s="32">
        <v>67</v>
      </c>
      <c r="C61" s="32">
        <v>0</v>
      </c>
      <c r="I61" s="14" t="s">
        <v>191</v>
      </c>
    </row>
    <row r="62" spans="1:9" x14ac:dyDescent="0.3">
      <c r="A62" s="14" t="s">
        <v>192</v>
      </c>
      <c r="B62" s="32">
        <v>0</v>
      </c>
      <c r="C62" s="32">
        <v>0</v>
      </c>
      <c r="I62" s="14" t="s">
        <v>193</v>
      </c>
    </row>
    <row r="63" spans="1:9" ht="24" x14ac:dyDescent="0.3">
      <c r="A63" s="9" t="s">
        <v>194</v>
      </c>
      <c r="B63" s="37">
        <f>B58+B59+B60</f>
        <v>1547.078</v>
      </c>
      <c r="C63" s="37">
        <f>C58+C59+C60</f>
        <v>1398.537</v>
      </c>
      <c r="I63" s="38" t="s">
        <v>195</v>
      </c>
    </row>
    <row r="64" spans="1:9" x14ac:dyDescent="0.3">
      <c r="A64" s="14" t="s">
        <v>196</v>
      </c>
      <c r="B64" s="36">
        <f>B61+B62</f>
        <v>67</v>
      </c>
      <c r="C64" s="36">
        <f>C61+C62</f>
        <v>0</v>
      </c>
    </row>
    <row r="65" spans="1:9" ht="24" x14ac:dyDescent="0.3">
      <c r="A65" s="9" t="s">
        <v>197</v>
      </c>
      <c r="B65" s="37">
        <f>B63-B64</f>
        <v>1480.078</v>
      </c>
      <c r="C65" s="37">
        <f>C63-C64</f>
        <v>1398.537</v>
      </c>
      <c r="I65" s="38" t="s">
        <v>198</v>
      </c>
    </row>
    <row r="66" spans="1:9" x14ac:dyDescent="0.3">
      <c r="A66" s="9" t="s">
        <v>199</v>
      </c>
      <c r="B66" s="32">
        <v>2279.326</v>
      </c>
      <c r="C66" s="32">
        <v>2321.0889999999999</v>
      </c>
      <c r="I66" s="14" t="s">
        <v>200</v>
      </c>
    </row>
    <row r="67" spans="1:9" x14ac:dyDescent="0.3">
      <c r="A67" s="14" t="s">
        <v>201</v>
      </c>
      <c r="B67" s="32">
        <v>311.59899999999999</v>
      </c>
      <c r="C67" s="32">
        <v>415.32100000000003</v>
      </c>
      <c r="I67" s="14" t="s">
        <v>202</v>
      </c>
    </row>
    <row r="68" spans="1:9" x14ac:dyDescent="0.3">
      <c r="A68" s="14" t="s">
        <v>203</v>
      </c>
      <c r="B68" s="32">
        <v>31.077000000000002</v>
      </c>
      <c r="C68" s="32">
        <v>31.077000000000002</v>
      </c>
      <c r="I68" s="14" t="s">
        <v>202</v>
      </c>
    </row>
    <row r="69" spans="1:9" x14ac:dyDescent="0.3">
      <c r="A69" s="14" t="s">
        <v>204</v>
      </c>
      <c r="B69" s="32">
        <v>12.23</v>
      </c>
      <c r="C69" s="32">
        <v>12.919</v>
      </c>
      <c r="I69" s="14" t="s">
        <v>202</v>
      </c>
    </row>
    <row r="70" spans="1:9" x14ac:dyDescent="0.3">
      <c r="A70" s="9" t="s">
        <v>205</v>
      </c>
      <c r="B70" s="37">
        <f>SUM(B67:B69)</f>
        <v>354.90600000000001</v>
      </c>
      <c r="C70" s="37">
        <f>SUM(C67:C69)</f>
        <v>459.31700000000001</v>
      </c>
    </row>
    <row r="71" spans="1:9" x14ac:dyDescent="0.3">
      <c r="A71" s="14" t="s">
        <v>206</v>
      </c>
      <c r="B71" s="32">
        <v>354.90600000000001</v>
      </c>
      <c r="C71" s="32">
        <v>459.31700000000001</v>
      </c>
      <c r="I71" s="9" t="str">
        <f>IF(AND(ABS(B71-B70)&lt;0.01,ABS(C71-C70)&lt;0.01),"KHỚP thuyết minh","LỆCH")</f>
        <v>KHỚP thuyết minh</v>
      </c>
    </row>
    <row r="72" spans="1:9" ht="24" x14ac:dyDescent="0.3">
      <c r="A72" s="9" t="s">
        <v>207</v>
      </c>
      <c r="B72" s="37">
        <f>B66-B65-B70</f>
        <v>444.34200000000004</v>
      </c>
      <c r="C72" s="37">
        <f>C66-C65-C70</f>
        <v>463.2349999999999</v>
      </c>
      <c r="I72" s="38" t="s">
        <v>208</v>
      </c>
    </row>
    <row r="73" spans="1:9" x14ac:dyDescent="0.3">
      <c r="A73" s="9" t="s">
        <v>209</v>
      </c>
      <c r="C73" s="42">
        <f>C66*1000/B8</f>
        <v>21100.80909090909</v>
      </c>
    </row>
    <row r="75" spans="1:9" x14ac:dyDescent="0.3">
      <c r="A75" s="11" t="s">
        <v>210</v>
      </c>
      <c r="B75" s="12"/>
      <c r="C75" s="12"/>
      <c r="D75" s="12"/>
      <c r="E75" s="12"/>
      <c r="F75" s="12"/>
      <c r="G75" s="12"/>
      <c r="H75" s="12"/>
      <c r="I75" s="12"/>
    </row>
    <row r="76" spans="1:9" x14ac:dyDescent="0.3">
      <c r="A76" s="13" t="s">
        <v>96</v>
      </c>
      <c r="B76" s="13" t="s">
        <v>127</v>
      </c>
      <c r="C76" s="13" t="s">
        <v>128</v>
      </c>
      <c r="D76" s="13" t="s">
        <v>129</v>
      </c>
      <c r="E76" s="13" t="s">
        <v>211</v>
      </c>
      <c r="F76" s="13" t="s">
        <v>212</v>
      </c>
      <c r="G76" s="13"/>
      <c r="H76" s="13"/>
      <c r="I76" s="13" t="s">
        <v>99</v>
      </c>
    </row>
    <row r="77" spans="1:9" x14ac:dyDescent="0.3">
      <c r="A77" s="14" t="s">
        <v>213</v>
      </c>
      <c r="B77" s="32">
        <v>2272.8000000000002</v>
      </c>
      <c r="C77" s="32">
        <v>1899.5</v>
      </c>
      <c r="D77" s="32">
        <v>1722.4</v>
      </c>
    </row>
    <row r="78" spans="1:9" x14ac:dyDescent="0.3">
      <c r="A78" s="14" t="s">
        <v>214</v>
      </c>
      <c r="B78" s="32">
        <v>425.3</v>
      </c>
      <c r="C78" s="32">
        <v>572.6</v>
      </c>
      <c r="D78" s="32">
        <v>615.1</v>
      </c>
    </row>
    <row r="79" spans="1:9" x14ac:dyDescent="0.3">
      <c r="A79" s="14" t="s">
        <v>215</v>
      </c>
      <c r="B79" s="32">
        <v>412.5</v>
      </c>
      <c r="C79" s="32">
        <v>418</v>
      </c>
      <c r="D79" s="32">
        <v>424.4</v>
      </c>
    </row>
    <row r="80" spans="1:9" x14ac:dyDescent="0.3">
      <c r="A80" s="14" t="s">
        <v>216</v>
      </c>
      <c r="B80" s="32">
        <v>0</v>
      </c>
      <c r="C80" s="32">
        <v>0</v>
      </c>
      <c r="D80" s="32">
        <v>48.1</v>
      </c>
    </row>
    <row r="81" spans="1:9" x14ac:dyDescent="0.3">
      <c r="A81" s="14" t="s">
        <v>217</v>
      </c>
      <c r="B81" s="32">
        <v>24.9</v>
      </c>
      <c r="C81" s="32">
        <v>26.8</v>
      </c>
      <c r="D81" s="32">
        <v>24.8</v>
      </c>
    </row>
    <row r="82" spans="1:9" x14ac:dyDescent="0.3">
      <c r="A82" s="14" t="s">
        <v>218</v>
      </c>
      <c r="B82" s="36">
        <f>SUM(B77:B81)</f>
        <v>3135.5000000000005</v>
      </c>
      <c r="C82" s="36">
        <f>SUM(C77:C81)</f>
        <v>2916.9</v>
      </c>
      <c r="D82" s="36">
        <f>SUM(D77:D81)</f>
        <v>2834.8</v>
      </c>
      <c r="I82" s="17" t="s">
        <v>219</v>
      </c>
    </row>
    <row r="83" spans="1:9" x14ac:dyDescent="0.3">
      <c r="A83" s="14" t="s">
        <v>220</v>
      </c>
      <c r="B83" s="43">
        <f>D20</f>
        <v>3135.4229999999998</v>
      </c>
      <c r="C83" s="43">
        <f>E20</f>
        <v>2916.9580000000001</v>
      </c>
      <c r="D83" s="43">
        <f>F20</f>
        <v>2834.8739999999998</v>
      </c>
      <c r="E83" s="43">
        <f>B42+C42</f>
        <v>1399.86</v>
      </c>
      <c r="F83" s="43">
        <f>F42+G42</f>
        <v>1502.0039999999999</v>
      </c>
    </row>
    <row r="84" spans="1:9" ht="36" x14ac:dyDescent="0.3">
      <c r="A84" s="9" t="s">
        <v>221</v>
      </c>
      <c r="B84" s="32">
        <v>425.3</v>
      </c>
      <c r="C84" s="32">
        <v>572.83000000000004</v>
      </c>
      <c r="D84" s="32">
        <v>668.08799999999997</v>
      </c>
      <c r="E84" s="32">
        <v>358.32400000000001</v>
      </c>
      <c r="F84" s="32">
        <v>327.44099999999997</v>
      </c>
      <c r="I84" s="38" t="s">
        <v>222</v>
      </c>
    </row>
    <row r="85" spans="1:9" x14ac:dyDescent="0.3">
      <c r="A85" s="9" t="s">
        <v>223</v>
      </c>
      <c r="B85" s="37">
        <f>B83-B84</f>
        <v>2710.1229999999996</v>
      </c>
      <c r="C85" s="37">
        <f>C83-C84</f>
        <v>2344.1280000000002</v>
      </c>
      <c r="D85" s="37">
        <f>D83-D84</f>
        <v>2166.7860000000001</v>
      </c>
      <c r="E85" s="37">
        <f>E83-E84</f>
        <v>1041.5359999999998</v>
      </c>
      <c r="F85" s="37">
        <f>F83-F84</f>
        <v>1174.5629999999999</v>
      </c>
      <c r="I85" s="38" t="s">
        <v>224</v>
      </c>
    </row>
    <row r="86" spans="1:9" x14ac:dyDescent="0.3">
      <c r="A86" s="14" t="s">
        <v>133</v>
      </c>
      <c r="B86" s="43">
        <f t="shared" ref="B86:D87" si="2">D21</f>
        <v>1008.6180000000001</v>
      </c>
      <c r="C86" s="43">
        <f t="shared" si="2"/>
        <v>848.54499999999996</v>
      </c>
      <c r="D86" s="43">
        <f t="shared" si="2"/>
        <v>796.98</v>
      </c>
      <c r="E86" s="43">
        <f>B43+C43</f>
        <v>382.47199999999998</v>
      </c>
      <c r="F86" s="43">
        <f>F43+G43</f>
        <v>448.31299999999999</v>
      </c>
    </row>
    <row r="87" spans="1:9" x14ac:dyDescent="0.3">
      <c r="A87" s="14" t="s">
        <v>135</v>
      </c>
      <c r="B87" s="43">
        <f t="shared" si="2"/>
        <v>708.87900000000002</v>
      </c>
      <c r="C87" s="43">
        <f t="shared" si="2"/>
        <v>657.04600000000005</v>
      </c>
      <c r="D87" s="43">
        <f t="shared" si="2"/>
        <v>606.61400000000003</v>
      </c>
      <c r="E87" s="43">
        <f>B44+C44</f>
        <v>271.32900000000001</v>
      </c>
      <c r="F87" s="43">
        <f>F44+G44</f>
        <v>294.09300000000002</v>
      </c>
    </row>
    <row r="88" spans="1:9" x14ac:dyDescent="0.3">
      <c r="A88" s="14" t="s">
        <v>225</v>
      </c>
      <c r="B88" s="40">
        <f>B84/B83</f>
        <v>0.13564357982957961</v>
      </c>
      <c r="C88" s="40">
        <f>C84/C83</f>
        <v>0.19637924166203286</v>
      </c>
      <c r="D88" s="40">
        <f>D84/D83</f>
        <v>0.23566761697345279</v>
      </c>
      <c r="E88" s="40">
        <f>E84/E83</f>
        <v>0.25597131141685597</v>
      </c>
      <c r="F88" s="40">
        <f>F84/F83</f>
        <v>0.21800274832823346</v>
      </c>
    </row>
    <row r="89" spans="1:9" x14ac:dyDescent="0.3">
      <c r="A89" s="14" t="s">
        <v>226</v>
      </c>
      <c r="F89" s="44">
        <f>F85/E85-1</f>
        <v>0.12772194144033433</v>
      </c>
      <c r="I89" s="38" t="s">
        <v>227</v>
      </c>
    </row>
    <row r="91" spans="1:9" x14ac:dyDescent="0.3">
      <c r="A91" s="11" t="s">
        <v>228</v>
      </c>
      <c r="B91" s="12"/>
      <c r="C91" s="12"/>
      <c r="D91" s="12"/>
      <c r="E91" s="12"/>
      <c r="F91" s="12"/>
      <c r="G91" s="12"/>
      <c r="H91" s="12"/>
      <c r="I91" s="12"/>
    </row>
    <row r="92" spans="1:9" ht="28.8" x14ac:dyDescent="0.3">
      <c r="A92" s="13" t="s">
        <v>229</v>
      </c>
      <c r="B92" s="13" t="s">
        <v>230</v>
      </c>
      <c r="C92" s="13" t="s">
        <v>231</v>
      </c>
      <c r="D92" s="13" t="s">
        <v>232</v>
      </c>
      <c r="E92" s="13" t="s">
        <v>233</v>
      </c>
      <c r="F92" s="13"/>
      <c r="G92" s="13"/>
      <c r="H92" s="13"/>
      <c r="I92" s="13" t="s">
        <v>12</v>
      </c>
    </row>
    <row r="93" spans="1:9" x14ac:dyDescent="0.3">
      <c r="A93" s="14">
        <v>2017</v>
      </c>
      <c r="B93" s="32">
        <v>766.78200000000004</v>
      </c>
    </row>
    <row r="94" spans="1:9" x14ac:dyDescent="0.3">
      <c r="A94" s="14">
        <v>2018</v>
      </c>
      <c r="B94" s="32">
        <v>767.85199999999998</v>
      </c>
      <c r="C94" s="32">
        <v>180.64099999999999</v>
      </c>
      <c r="D94" s="36">
        <f t="shared" ref="D94:D101" si="3">(B93+B94)/2</f>
        <v>767.31700000000001</v>
      </c>
      <c r="E94" s="44">
        <f t="shared" ref="E94:E101" si="4">C94/D94</f>
        <v>0.23541899892743154</v>
      </c>
    </row>
    <row r="95" spans="1:9" x14ac:dyDescent="0.3">
      <c r="A95" s="14">
        <v>2019</v>
      </c>
      <c r="B95" s="32">
        <v>726.74</v>
      </c>
      <c r="C95" s="32">
        <v>166.94200000000001</v>
      </c>
      <c r="D95" s="36">
        <f t="shared" si="3"/>
        <v>747.29600000000005</v>
      </c>
      <c r="E95" s="44">
        <f t="shared" si="4"/>
        <v>0.22339474585706331</v>
      </c>
    </row>
    <row r="96" spans="1:9" x14ac:dyDescent="0.3">
      <c r="A96" s="14">
        <v>2020</v>
      </c>
      <c r="B96" s="32">
        <v>911.91</v>
      </c>
      <c r="C96" s="32">
        <v>280.73500000000001</v>
      </c>
      <c r="D96" s="36">
        <f t="shared" si="3"/>
        <v>819.32500000000005</v>
      </c>
      <c r="E96" s="44">
        <f t="shared" si="4"/>
        <v>0.34264180880602935</v>
      </c>
      <c r="I96" s="17" t="s">
        <v>234</v>
      </c>
    </row>
    <row r="97" spans="1:9" x14ac:dyDescent="0.3">
      <c r="A97" s="14">
        <v>2021</v>
      </c>
      <c r="B97" s="32">
        <v>2173.3850000000002</v>
      </c>
      <c r="C97" s="43">
        <f>B31</f>
        <v>319.11200000000002</v>
      </c>
      <c r="D97" s="36">
        <f t="shared" si="3"/>
        <v>1542.6475</v>
      </c>
      <c r="E97" s="44">
        <f t="shared" si="4"/>
        <v>0.20685995990658917</v>
      </c>
      <c r="I97" s="17" t="s">
        <v>235</v>
      </c>
    </row>
    <row r="98" spans="1:9" x14ac:dyDescent="0.3">
      <c r="A98" s="14">
        <v>2022</v>
      </c>
      <c r="B98" s="32">
        <v>2210.279</v>
      </c>
      <c r="C98" s="43">
        <f>C31</f>
        <v>346.54899999999998</v>
      </c>
      <c r="D98" s="36">
        <f t="shared" si="3"/>
        <v>2191.8320000000003</v>
      </c>
      <c r="E98" s="44">
        <f t="shared" si="4"/>
        <v>0.15810928939809252</v>
      </c>
    </row>
    <row r="99" spans="1:9" x14ac:dyDescent="0.3">
      <c r="A99" s="14">
        <v>2023</v>
      </c>
      <c r="B99" s="32">
        <v>2327.2550000000001</v>
      </c>
      <c r="C99" s="43">
        <f>D31</f>
        <v>374.41699999999997</v>
      </c>
      <c r="D99" s="36">
        <f t="shared" si="3"/>
        <v>2268.7669999999998</v>
      </c>
      <c r="E99" s="44">
        <f t="shared" si="4"/>
        <v>0.16503104990508061</v>
      </c>
    </row>
    <row r="100" spans="1:9" x14ac:dyDescent="0.3">
      <c r="A100" s="14">
        <v>2024</v>
      </c>
      <c r="B100" s="32">
        <v>2305.1840000000002</v>
      </c>
      <c r="C100" s="43">
        <f>E31</f>
        <v>219.92099999999999</v>
      </c>
      <c r="D100" s="36">
        <f t="shared" si="3"/>
        <v>2316.2195000000002</v>
      </c>
      <c r="E100" s="44">
        <f t="shared" si="4"/>
        <v>9.4948255120035033E-2</v>
      </c>
      <c r="I100" s="17" t="s">
        <v>236</v>
      </c>
    </row>
    <row r="101" spans="1:9" x14ac:dyDescent="0.3">
      <c r="A101" s="14">
        <v>2025</v>
      </c>
      <c r="B101" s="32">
        <v>2279.326</v>
      </c>
      <c r="C101" s="43">
        <f>F31</f>
        <v>215.714</v>
      </c>
      <c r="D101" s="36">
        <f t="shared" si="3"/>
        <v>2292.2550000000001</v>
      </c>
      <c r="E101" s="44">
        <f t="shared" si="4"/>
        <v>9.4105585984107343E-2</v>
      </c>
      <c r="I101" s="17" t="s">
        <v>237</v>
      </c>
    </row>
    <row r="102" spans="1:9" x14ac:dyDescent="0.3">
      <c r="A102" s="9" t="s">
        <v>238</v>
      </c>
      <c r="E102" s="44">
        <f>H51/AVERAGE(2306.343,C66)</f>
        <v>0.11273207256206033</v>
      </c>
    </row>
    <row r="103" spans="1:9" ht="24" x14ac:dyDescent="0.3">
      <c r="A103" s="9" t="s">
        <v>239</v>
      </c>
      <c r="E103" s="44">
        <f>AVERAGE(E98:E101)</f>
        <v>0.12804854510182886</v>
      </c>
      <c r="I103" s="38" t="s">
        <v>240</v>
      </c>
    </row>
    <row r="104" spans="1:9" x14ac:dyDescent="0.3">
      <c r="A104" s="9" t="s">
        <v>241</v>
      </c>
      <c r="E104" s="44">
        <f>AVERAGE(E94:E101)</f>
        <v>0.19006371173805361</v>
      </c>
    </row>
    <row r="105" spans="1:9" x14ac:dyDescent="0.3">
      <c r="A105" s="9" t="s">
        <v>242</v>
      </c>
      <c r="E105" s="44">
        <f>MEDIAN(E94:E101)</f>
        <v>0.18594550490583489</v>
      </c>
    </row>
    <row r="107" spans="1:9" x14ac:dyDescent="0.3">
      <c r="A107" s="11" t="s">
        <v>243</v>
      </c>
      <c r="B107" s="12"/>
      <c r="C107" s="12"/>
      <c r="D107" s="12"/>
      <c r="E107" s="12"/>
      <c r="F107" s="12"/>
      <c r="G107" s="12"/>
      <c r="H107" s="12"/>
      <c r="I107" s="12"/>
    </row>
    <row r="108" spans="1:9" ht="28.8" x14ac:dyDescent="0.3">
      <c r="A108" s="13" t="s">
        <v>96</v>
      </c>
      <c r="B108" s="13" t="s">
        <v>97</v>
      </c>
      <c r="C108" s="13" t="s">
        <v>98</v>
      </c>
      <c r="D108" s="13" t="s">
        <v>99</v>
      </c>
      <c r="E108" s="13"/>
      <c r="F108" s="13"/>
      <c r="G108" s="13"/>
      <c r="H108" s="13"/>
      <c r="I108" s="13"/>
    </row>
    <row r="109" spans="1:9" x14ac:dyDescent="0.3">
      <c r="A109" s="14" t="s">
        <v>244</v>
      </c>
      <c r="B109" s="32">
        <v>1120</v>
      </c>
      <c r="C109" s="14" t="s">
        <v>107</v>
      </c>
      <c r="D109" s="14" t="s">
        <v>245</v>
      </c>
    </row>
    <row r="110" spans="1:9" x14ac:dyDescent="0.3">
      <c r="A110" s="14" t="s">
        <v>246</v>
      </c>
      <c r="B110" s="32">
        <v>700</v>
      </c>
      <c r="C110" s="14" t="s">
        <v>107</v>
      </c>
      <c r="D110" s="14" t="s">
        <v>247</v>
      </c>
    </row>
    <row r="111" spans="1:9" x14ac:dyDescent="0.3">
      <c r="A111" s="14" t="s">
        <v>248</v>
      </c>
      <c r="B111" s="32">
        <v>300</v>
      </c>
      <c r="C111" s="14" t="s">
        <v>107</v>
      </c>
      <c r="D111" s="14" t="s">
        <v>249</v>
      </c>
    </row>
    <row r="112" spans="1:9" x14ac:dyDescent="0.3">
      <c r="A112" s="14" t="s">
        <v>250</v>
      </c>
      <c r="B112" s="32">
        <v>20</v>
      </c>
      <c r="C112" s="14" t="s">
        <v>251</v>
      </c>
      <c r="D112" s="14" t="s">
        <v>252</v>
      </c>
    </row>
    <row r="113" spans="1:9" x14ac:dyDescent="0.3">
      <c r="A113" s="14" t="s">
        <v>253</v>
      </c>
      <c r="B113" s="35" t="s">
        <v>254</v>
      </c>
      <c r="D113" s="14" t="s">
        <v>255</v>
      </c>
    </row>
    <row r="114" spans="1:9" x14ac:dyDescent="0.3">
      <c r="A114" s="14" t="s">
        <v>256</v>
      </c>
      <c r="B114" s="32">
        <v>40.927</v>
      </c>
      <c r="C114" s="14" t="s">
        <v>107</v>
      </c>
      <c r="D114" s="14" t="s">
        <v>257</v>
      </c>
    </row>
    <row r="115" spans="1:9" x14ac:dyDescent="0.3">
      <c r="A115" s="14" t="s">
        <v>258</v>
      </c>
      <c r="B115" s="32">
        <v>2000</v>
      </c>
      <c r="C115" s="14" t="s">
        <v>107</v>
      </c>
      <c r="D115" s="14" t="s">
        <v>259</v>
      </c>
    </row>
    <row r="116" spans="1:9" x14ac:dyDescent="0.3">
      <c r="A116" s="14" t="s">
        <v>260</v>
      </c>
      <c r="B116" s="32">
        <v>743</v>
      </c>
      <c r="C116" s="14" t="s">
        <v>107</v>
      </c>
      <c r="D116" s="14" t="s">
        <v>261</v>
      </c>
    </row>
    <row r="117" spans="1:9" x14ac:dyDescent="0.3">
      <c r="A117" s="14" t="s">
        <v>262</v>
      </c>
      <c r="B117" s="32">
        <v>1257</v>
      </c>
      <c r="C117" s="14" t="s">
        <v>107</v>
      </c>
      <c r="D117" s="14" t="s">
        <v>263</v>
      </c>
    </row>
    <row r="118" spans="1:9" x14ac:dyDescent="0.3">
      <c r="A118" s="14" t="s">
        <v>253</v>
      </c>
      <c r="B118" s="35" t="s">
        <v>264</v>
      </c>
      <c r="D118" s="14" t="s">
        <v>265</v>
      </c>
    </row>
    <row r="119" spans="1:9" x14ac:dyDescent="0.3">
      <c r="A119" s="14" t="s">
        <v>266</v>
      </c>
      <c r="B119" s="32">
        <v>31.923999999999999</v>
      </c>
      <c r="C119" s="14" t="s">
        <v>107</v>
      </c>
      <c r="D119" s="14" t="s">
        <v>267</v>
      </c>
    </row>
    <row r="120" spans="1:9" x14ac:dyDescent="0.3">
      <c r="A120" s="14" t="s">
        <v>268</v>
      </c>
      <c r="B120" s="34">
        <v>200</v>
      </c>
      <c r="C120" s="14" t="s">
        <v>269</v>
      </c>
      <c r="D120" s="14" t="s">
        <v>270</v>
      </c>
    </row>
    <row r="121" spans="1:9" x14ac:dyDescent="0.3">
      <c r="A121" s="14" t="s">
        <v>271</v>
      </c>
      <c r="B121" s="32">
        <v>397.37200000000001</v>
      </c>
      <c r="C121" s="14" t="s">
        <v>107</v>
      </c>
      <c r="D121" s="14" t="s">
        <v>272</v>
      </c>
    </row>
    <row r="122" spans="1:9" x14ac:dyDescent="0.3">
      <c r="A122" s="14" t="s">
        <v>273</v>
      </c>
      <c r="B122" s="32">
        <v>558.78</v>
      </c>
      <c r="C122" s="14" t="s">
        <v>107</v>
      </c>
      <c r="D122" s="14" t="s">
        <v>274</v>
      </c>
    </row>
    <row r="123" spans="1:9" x14ac:dyDescent="0.3">
      <c r="A123" s="14" t="s">
        <v>275</v>
      </c>
      <c r="B123" s="32">
        <v>19.126000000000001</v>
      </c>
      <c r="C123" s="14" t="s">
        <v>107</v>
      </c>
      <c r="D123" s="14" t="s">
        <v>276</v>
      </c>
    </row>
    <row r="124" spans="1:9" x14ac:dyDescent="0.3">
      <c r="A124" s="14" t="s">
        <v>277</v>
      </c>
      <c r="B124" s="32">
        <v>75.5</v>
      </c>
      <c r="C124" s="14" t="s">
        <v>278</v>
      </c>
      <c r="D124" s="14" t="s">
        <v>279</v>
      </c>
    </row>
    <row r="126" spans="1:9" x14ac:dyDescent="0.3">
      <c r="A126" s="11" t="s">
        <v>280</v>
      </c>
      <c r="B126" s="12"/>
      <c r="C126" s="12"/>
      <c r="D126" s="12"/>
      <c r="E126" s="12"/>
      <c r="F126" s="12"/>
      <c r="G126" s="12"/>
      <c r="H126" s="12"/>
      <c r="I126" s="12"/>
    </row>
    <row r="127" spans="1:9" ht="28.8" x14ac:dyDescent="0.3">
      <c r="A127" s="13" t="s">
        <v>96</v>
      </c>
      <c r="B127" s="13" t="s">
        <v>97</v>
      </c>
      <c r="C127" s="13" t="s">
        <v>98</v>
      </c>
      <c r="D127" s="13" t="s">
        <v>99</v>
      </c>
      <c r="E127" s="13"/>
      <c r="F127" s="13"/>
      <c r="G127" s="13"/>
      <c r="H127" s="13"/>
      <c r="I127" s="13"/>
    </row>
    <row r="128" spans="1:9" x14ac:dyDescent="0.3">
      <c r="A128" s="14" t="s">
        <v>281</v>
      </c>
      <c r="B128" s="32">
        <v>21.571000000000002</v>
      </c>
      <c r="C128" s="14" t="s">
        <v>107</v>
      </c>
      <c r="D128" s="14" t="s">
        <v>282</v>
      </c>
      <c r="E128" s="40">
        <f>B128/F31</f>
        <v>9.9998145692908214E-2</v>
      </c>
    </row>
    <row r="129" spans="1:4" x14ac:dyDescent="0.3">
      <c r="A129" s="14" t="s">
        <v>283</v>
      </c>
      <c r="B129" s="34">
        <v>2000</v>
      </c>
      <c r="C129" s="14" t="s">
        <v>284</v>
      </c>
      <c r="D129" s="14" t="s">
        <v>285</v>
      </c>
    </row>
    <row r="130" spans="1:4" x14ac:dyDescent="0.3">
      <c r="A130" s="14" t="s">
        <v>286</v>
      </c>
      <c r="B130" s="45">
        <v>0.68149999999999999</v>
      </c>
      <c r="D130" s="14" t="s">
        <v>287</v>
      </c>
    </row>
    <row r="131" spans="1:4" x14ac:dyDescent="0.3">
      <c r="A131" s="14" t="s">
        <v>288</v>
      </c>
      <c r="B131" s="35" t="s">
        <v>289</v>
      </c>
      <c r="D131" s="14" t="s">
        <v>290</v>
      </c>
    </row>
    <row r="132" spans="1:4" x14ac:dyDescent="0.3">
      <c r="A132" s="14" t="s">
        <v>291</v>
      </c>
      <c r="B132" s="32">
        <v>3126.4</v>
      </c>
      <c r="C132" s="14" t="s">
        <v>107</v>
      </c>
      <c r="D132" s="14" t="s">
        <v>292</v>
      </c>
    </row>
    <row r="133" spans="1:4" x14ac:dyDescent="0.3">
      <c r="A133" s="14" t="s">
        <v>293</v>
      </c>
      <c r="B133" s="32">
        <v>241</v>
      </c>
      <c r="C133" s="14" t="s">
        <v>107</v>
      </c>
      <c r="D133" s="14" t="s">
        <v>294</v>
      </c>
    </row>
    <row r="134" spans="1:4" x14ac:dyDescent="0.3">
      <c r="A134" s="14" t="s">
        <v>295</v>
      </c>
      <c r="B134" s="32">
        <v>99.96</v>
      </c>
      <c r="C134" s="14" t="s">
        <v>107</v>
      </c>
      <c r="D134" s="14" t="s">
        <v>296</v>
      </c>
    </row>
    <row r="135" spans="1:4" x14ac:dyDescent="0.3">
      <c r="A135" s="14" t="s">
        <v>297</v>
      </c>
      <c r="B135" s="32">
        <v>1639.268</v>
      </c>
      <c r="C135" s="14" t="s">
        <v>107</v>
      </c>
      <c r="D135" s="14" t="s">
        <v>298</v>
      </c>
    </row>
    <row r="136" spans="1:4" x14ac:dyDescent="0.3">
      <c r="A136" s="14" t="s">
        <v>299</v>
      </c>
      <c r="B136" s="32">
        <v>1492.951</v>
      </c>
      <c r="C136" s="14" t="s">
        <v>107</v>
      </c>
      <c r="D136" s="14" t="s">
        <v>300</v>
      </c>
    </row>
    <row r="137" spans="1:4" x14ac:dyDescent="0.3">
      <c r="A137" s="14" t="s">
        <v>301</v>
      </c>
      <c r="B137" s="40">
        <f>B134/AVERAGE(B135,B136)</f>
        <v>6.3826954628651442E-2</v>
      </c>
    </row>
    <row r="138" spans="1:4" x14ac:dyDescent="0.3">
      <c r="A138" s="14" t="s">
        <v>302</v>
      </c>
      <c r="B138" s="46">
        <v>13.89</v>
      </c>
      <c r="C138" s="14" t="s">
        <v>303</v>
      </c>
      <c r="D138" s="14" t="s">
        <v>304</v>
      </c>
    </row>
    <row r="139" spans="1:4" x14ac:dyDescent="0.3">
      <c r="A139" s="14" t="s">
        <v>305</v>
      </c>
      <c r="B139" s="46">
        <v>1.34</v>
      </c>
      <c r="C139" s="14" t="s">
        <v>303</v>
      </c>
      <c r="D139" s="14" t="s">
        <v>306</v>
      </c>
    </row>
  </sheetData>
  <pageMargins left="0.4" right="0.4" top="0.7" bottom="0.6" header="0.5" footer="0.5"/>
  <pageSetup scale="48" fitToHeight="0" orientation="landscape" r:id="rId1"/>
  <headerFooter>
    <oddHeader>&amp;R&amp;A&amp;LMCM — Định giá DCF + tiền + dự án</oddHeader>
    <oddFooter>&amp;RTrang &amp;P / &amp;N&amp;LFairline Research — bản 13/10/2026</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pageSetUpPr fitToPage="1"/>
  </sheetPr>
  <dimension ref="A1:F74"/>
  <sheetViews>
    <sheetView showGridLines="0" zoomScale="90" workbookViewId="0">
      <pane xSplit="1" ySplit="3" topLeftCell="B4" activePane="bottomRight" state="frozen"/>
      <selection pane="topRight"/>
      <selection pane="bottomLeft"/>
      <selection pane="bottomRight" activeCell="A26" sqref="A26:F26"/>
    </sheetView>
  </sheetViews>
  <sheetFormatPr defaultRowHeight="14.4" x14ac:dyDescent="0.3"/>
  <cols>
    <col min="1" max="1" width="64" customWidth="1"/>
    <col min="2" max="4" width="13" customWidth="1"/>
    <col min="5" max="5" width="14" customWidth="1"/>
    <col min="6" max="6" width="95" customWidth="1"/>
  </cols>
  <sheetData>
    <row r="1" spans="1:6" ht="18" x14ac:dyDescent="0.3">
      <c r="A1" s="1" t="s">
        <v>865</v>
      </c>
    </row>
    <row r="2" spans="1:6" x14ac:dyDescent="0.3">
      <c r="A2" s="17" t="s">
        <v>307</v>
      </c>
    </row>
    <row r="4" spans="1:6" x14ac:dyDescent="0.3">
      <c r="A4" s="11" t="s">
        <v>866</v>
      </c>
      <c r="B4" s="12"/>
      <c r="C4" s="12"/>
      <c r="D4" s="12"/>
      <c r="E4" s="12"/>
      <c r="F4" s="12"/>
    </row>
    <row r="5" spans="1:6" x14ac:dyDescent="0.3">
      <c r="A5" s="13" t="s">
        <v>308</v>
      </c>
      <c r="B5" s="13" t="s">
        <v>97</v>
      </c>
      <c r="C5" s="13"/>
      <c r="D5" s="13"/>
      <c r="E5" s="13"/>
      <c r="F5" s="13" t="s">
        <v>309</v>
      </c>
    </row>
    <row r="6" spans="1:6" x14ac:dyDescent="0.3">
      <c r="A6" s="9" t="s">
        <v>310</v>
      </c>
      <c r="B6" s="45">
        <v>4.5999999999999999E-2</v>
      </c>
      <c r="F6" s="38" t="s">
        <v>867</v>
      </c>
    </row>
    <row r="7" spans="1:6" ht="36" x14ac:dyDescent="0.3">
      <c r="A7" s="9" t="s">
        <v>311</v>
      </c>
      <c r="B7" s="45">
        <v>9.1999999999999998E-2</v>
      </c>
      <c r="F7" s="38" t="s">
        <v>868</v>
      </c>
    </row>
    <row r="8" spans="1:6" ht="36" x14ac:dyDescent="0.3">
      <c r="A8" s="9" t="s">
        <v>312</v>
      </c>
      <c r="B8" s="47">
        <v>0.72</v>
      </c>
      <c r="F8" s="38" t="s">
        <v>869</v>
      </c>
    </row>
    <row r="9" spans="1:6" ht="24" x14ac:dyDescent="0.3">
      <c r="A9" s="9" t="s">
        <v>313</v>
      </c>
      <c r="B9" s="47">
        <v>0.85</v>
      </c>
      <c r="F9" s="38" t="s">
        <v>314</v>
      </c>
    </row>
    <row r="10" spans="1:6" x14ac:dyDescent="0.3">
      <c r="A10" s="9" t="s">
        <v>315</v>
      </c>
      <c r="B10" s="44">
        <f>B6+B8*B7</f>
        <v>0.11223999999999999</v>
      </c>
      <c r="F10" s="38" t="s">
        <v>870</v>
      </c>
    </row>
    <row r="11" spans="1:6" x14ac:dyDescent="0.3">
      <c r="A11" s="9" t="s">
        <v>316</v>
      </c>
      <c r="B11" s="44">
        <f>B6+B9*B7</f>
        <v>0.12419999999999999</v>
      </c>
      <c r="F11" s="38" t="s">
        <v>317</v>
      </c>
    </row>
    <row r="12" spans="1:6" x14ac:dyDescent="0.3">
      <c r="A12" s="9" t="s">
        <v>318</v>
      </c>
      <c r="B12" s="45">
        <v>0.03</v>
      </c>
      <c r="F12" s="38" t="s">
        <v>319</v>
      </c>
    </row>
    <row r="13" spans="1:6" x14ac:dyDescent="0.3">
      <c r="A13" s="9" t="s">
        <v>320</v>
      </c>
      <c r="B13" s="48">
        <v>0.1</v>
      </c>
      <c r="F13" s="38" t="s">
        <v>321</v>
      </c>
    </row>
    <row r="14" spans="1:6" x14ac:dyDescent="0.3">
      <c r="A14" s="9" t="s">
        <v>322</v>
      </c>
      <c r="B14" s="48">
        <v>0.2</v>
      </c>
      <c r="F14" s="38" t="s">
        <v>323</v>
      </c>
    </row>
    <row r="15" spans="1:6" x14ac:dyDescent="0.3">
      <c r="A15" s="9" t="s">
        <v>324</v>
      </c>
      <c r="B15" s="45">
        <v>7.4999999999999997E-2</v>
      </c>
      <c r="F15" s="38" t="s">
        <v>871</v>
      </c>
    </row>
    <row r="16" spans="1:6" x14ac:dyDescent="0.3">
      <c r="A16" s="9" t="s">
        <v>325</v>
      </c>
      <c r="B16" s="34">
        <v>1000</v>
      </c>
      <c r="F16" s="38" t="s">
        <v>872</v>
      </c>
    </row>
    <row r="17" spans="1:6" ht="24" x14ac:dyDescent="0.3">
      <c r="A17" s="9" t="s">
        <v>326</v>
      </c>
      <c r="B17" s="45">
        <v>0.09</v>
      </c>
      <c r="F17" s="38" t="s">
        <v>873</v>
      </c>
    </row>
    <row r="18" spans="1:6" x14ac:dyDescent="0.3">
      <c r="A18" s="9" t="s">
        <v>874</v>
      </c>
    </row>
    <row r="19" spans="1:6" x14ac:dyDescent="0.3">
      <c r="A19" s="14" t="s">
        <v>327</v>
      </c>
      <c r="B19" s="48">
        <v>0</v>
      </c>
      <c r="F19" s="38" t="s">
        <v>815</v>
      </c>
    </row>
    <row r="20" spans="1:6" x14ac:dyDescent="0.3">
      <c r="A20" s="14" t="s">
        <v>328</v>
      </c>
      <c r="B20" s="48">
        <v>1</v>
      </c>
      <c r="F20" s="38" t="s">
        <v>816</v>
      </c>
    </row>
    <row r="21" spans="1:6" ht="24" x14ac:dyDescent="0.3">
      <c r="A21" s="14" t="s">
        <v>329</v>
      </c>
      <c r="B21" s="48">
        <v>0</v>
      </c>
      <c r="F21" s="38" t="s">
        <v>817</v>
      </c>
    </row>
    <row r="22" spans="1:6" ht="24" x14ac:dyDescent="0.3">
      <c r="A22" s="14" t="s">
        <v>330</v>
      </c>
      <c r="B22" s="48">
        <v>0</v>
      </c>
      <c r="F22" s="38" t="s">
        <v>818</v>
      </c>
    </row>
    <row r="23" spans="1:6" x14ac:dyDescent="0.3">
      <c r="A23" s="14" t="s">
        <v>331</v>
      </c>
      <c r="B23" s="48">
        <v>0</v>
      </c>
      <c r="F23" s="38" t="s">
        <v>819</v>
      </c>
    </row>
    <row r="24" spans="1:6" x14ac:dyDescent="0.3">
      <c r="A24" s="14" t="s">
        <v>332</v>
      </c>
      <c r="B24" s="41">
        <f>SUM(B19:B23)</f>
        <v>1</v>
      </c>
      <c r="C24" s="9" t="str">
        <f>IF(ABS(B24-1)&lt;0.000001,"ĐẠT","SAI — tổng khác 100%")</f>
        <v>ĐẠT</v>
      </c>
    </row>
    <row r="26" spans="1:6" ht="36" x14ac:dyDescent="0.3">
      <c r="A26" s="14" t="s">
        <v>814</v>
      </c>
      <c r="B26" s="48">
        <v>0.1</v>
      </c>
      <c r="F26" s="38" t="s">
        <v>875</v>
      </c>
    </row>
    <row r="27" spans="1:6" x14ac:dyDescent="0.3">
      <c r="A27" s="11" t="s">
        <v>333</v>
      </c>
      <c r="B27" s="12"/>
      <c r="C27" s="12"/>
      <c r="D27" s="12"/>
      <c r="E27" s="12"/>
      <c r="F27" s="12"/>
    </row>
    <row r="28" spans="1:6" x14ac:dyDescent="0.3">
      <c r="A28" s="13" t="s">
        <v>308</v>
      </c>
      <c r="B28" s="13" t="s">
        <v>97</v>
      </c>
      <c r="C28" s="13"/>
      <c r="D28" s="13"/>
      <c r="E28" s="13"/>
      <c r="F28" s="13" t="s">
        <v>334</v>
      </c>
    </row>
    <row r="29" spans="1:6" x14ac:dyDescent="0.3">
      <c r="A29" s="14" t="s">
        <v>335</v>
      </c>
      <c r="B29" s="49">
        <f>'01_Số liệu gốc'!$D$84-'01_Số liệu gốc'!$E$84+'01_Số liệu gốc'!$F$84</f>
        <v>637.20499999999993</v>
      </c>
      <c r="F29" s="38" t="s">
        <v>336</v>
      </c>
    </row>
    <row r="30" spans="1:6" x14ac:dyDescent="0.3">
      <c r="A30" s="14" t="s">
        <v>337</v>
      </c>
      <c r="B30" s="49">
        <f>'01_Số liệu gốc'!$H$42</f>
        <v>2937.018</v>
      </c>
      <c r="F30" s="38"/>
    </row>
    <row r="31" spans="1:6" x14ac:dyDescent="0.3">
      <c r="A31" s="14" t="s">
        <v>338</v>
      </c>
      <c r="B31" s="36">
        <f>B30-B29</f>
        <v>2299.8130000000001</v>
      </c>
      <c r="F31" s="38" t="s">
        <v>339</v>
      </c>
    </row>
    <row r="32" spans="1:6" x14ac:dyDescent="0.3">
      <c r="A32" s="14" t="s">
        <v>340</v>
      </c>
      <c r="B32" s="49">
        <f>'01_Số liệu gốc'!$H$43</f>
        <v>862.82100000000003</v>
      </c>
      <c r="F32" s="38"/>
    </row>
    <row r="33" spans="1:6" x14ac:dyDescent="0.3">
      <c r="A33" s="14" t="s">
        <v>341</v>
      </c>
      <c r="B33" s="49">
        <f>'01_Số liệu gốc'!$H$44</f>
        <v>629.37800000000016</v>
      </c>
      <c r="F33" s="38"/>
    </row>
    <row r="34" spans="1:6" x14ac:dyDescent="0.3">
      <c r="A34" s="14" t="s">
        <v>342</v>
      </c>
      <c r="B34" s="49">
        <f>'01_Số liệu gốc'!$H$45</f>
        <v>37.732999999999997</v>
      </c>
      <c r="F34" s="38"/>
    </row>
    <row r="35" spans="1:6" x14ac:dyDescent="0.3">
      <c r="A35" s="14" t="s">
        <v>343</v>
      </c>
      <c r="B35" s="49">
        <f>'01_Số liệu gốc'!$H$46</f>
        <v>195.70999999999987</v>
      </c>
      <c r="F35" s="38"/>
    </row>
    <row r="36" spans="1:6" ht="24" x14ac:dyDescent="0.3">
      <c r="A36" s="14" t="s">
        <v>344</v>
      </c>
      <c r="B36" s="50">
        <f>INDEX(LINEST('01_Số liệu gốc'!$B$86:$D$86,'01_Số liệu gốc'!$B$84:$D$85,FALSE,FALSE),1,2)</f>
        <v>-4.0691356920098933E-2</v>
      </c>
      <c r="F36" s="38" t="s">
        <v>345</v>
      </c>
    </row>
    <row r="37" spans="1:6" x14ac:dyDescent="0.3">
      <c r="A37" s="14" t="s">
        <v>346</v>
      </c>
      <c r="B37" s="50">
        <f>INDEX(LINEST('01_Số liệu gốc'!$B$86:$D$86,'01_Số liệu gốc'!$B$84:$D$85,FALSE,FALSE),1,1)</f>
        <v>0.37696235165941744</v>
      </c>
    </row>
    <row r="38" spans="1:6" ht="48" x14ac:dyDescent="0.3">
      <c r="A38" s="9" t="s">
        <v>347</v>
      </c>
      <c r="B38" s="45">
        <v>0.1</v>
      </c>
      <c r="F38" s="38" t="s">
        <v>876</v>
      </c>
    </row>
    <row r="39" spans="1:6" x14ac:dyDescent="0.3">
      <c r="A39" s="9" t="s">
        <v>348</v>
      </c>
      <c r="B39" s="44">
        <f>(B32-B38*B29)/B31</f>
        <v>0.34746325027295699</v>
      </c>
    </row>
    <row r="40" spans="1:6" x14ac:dyDescent="0.3">
      <c r="A40" s="9" t="s">
        <v>349</v>
      </c>
      <c r="B40" s="44">
        <f>B33/B31</f>
        <v>0.27366485883852304</v>
      </c>
    </row>
    <row r="41" spans="1:6" x14ac:dyDescent="0.3">
      <c r="A41" s="17" t="s">
        <v>350</v>
      </c>
      <c r="B41" s="51" t="s">
        <v>127</v>
      </c>
      <c r="C41" s="51" t="s">
        <v>129</v>
      </c>
      <c r="D41" s="51" t="s">
        <v>211</v>
      </c>
      <c r="E41" s="51" t="s">
        <v>212</v>
      </c>
    </row>
    <row r="42" spans="1:6" x14ac:dyDescent="0.3">
      <c r="A42" s="14" t="s">
        <v>351</v>
      </c>
      <c r="B42" s="50">
        <f>('01_Số liệu gốc'!B86-$B$38*'01_Số liệu gốc'!B84)/'01_Số liệu gốc'!B85</f>
        <v>0.35647385745960614</v>
      </c>
      <c r="C42" s="50">
        <f>('01_Số liệu gốc'!D86-$B$38*'01_Số liệu gốc'!D84)/'01_Số liệu gốc'!D85</f>
        <v>0.3369835322916061</v>
      </c>
      <c r="D42" s="50">
        <f>('01_Số liệu gốc'!E86-$B$38*'01_Số liệu gốc'!E84)/'01_Số liệu gốc'!E85</f>
        <v>0.33281576440948757</v>
      </c>
      <c r="E42" s="50">
        <f>('01_Số liệu gốc'!F86-$B$38*'01_Số liệu gốc'!F84)/'01_Số liệu gốc'!F85</f>
        <v>0.35380724575863537</v>
      </c>
    </row>
    <row r="43" spans="1:6" x14ac:dyDescent="0.3">
      <c r="A43" s="14" t="s">
        <v>352</v>
      </c>
      <c r="B43" s="50">
        <f>'01_Số liệu gốc'!B87/'01_Số liệu gốc'!B85</f>
        <v>0.26156709492521191</v>
      </c>
      <c r="C43" s="50">
        <f>'01_Số liệu gốc'!D87/'01_Số liệu gốc'!D85</f>
        <v>0.27996027295727405</v>
      </c>
      <c r="D43" s="50">
        <f>'01_Số liệu gốc'!E87/'01_Số liệu gốc'!E85</f>
        <v>0.26050851818852161</v>
      </c>
      <c r="E43" s="50">
        <f>'01_Số liệu gốc'!F87/'01_Số liệu gốc'!F85</f>
        <v>0.25038503681794849</v>
      </c>
      <c r="F43" s="38" t="s">
        <v>353</v>
      </c>
    </row>
    <row r="44" spans="1:6" ht="36" x14ac:dyDescent="0.3">
      <c r="A44" s="14" t="s">
        <v>354</v>
      </c>
      <c r="B44" s="40">
        <f>B39-B40</f>
        <v>7.3798391434433952E-2</v>
      </c>
      <c r="C44" s="40">
        <f>B38</f>
        <v>0.1</v>
      </c>
      <c r="F44" s="38" t="s">
        <v>809</v>
      </c>
    </row>
    <row r="45" spans="1:6" x14ac:dyDescent="0.3">
      <c r="A45" s="14" t="s">
        <v>355</v>
      </c>
      <c r="B45" s="36">
        <f>B38*B29+(B39-B40)*B31-B34</f>
        <v>195.70999999999984</v>
      </c>
      <c r="C45" s="9" t="str">
        <f>IF(ABS(B45-B35)&lt;0.001,"KHỚP","LỆCH")</f>
        <v>KHỚP</v>
      </c>
    </row>
    <row r="46" spans="1:6" x14ac:dyDescent="0.3">
      <c r="A46" s="14" t="s">
        <v>356</v>
      </c>
      <c r="B46" s="32">
        <v>39</v>
      </c>
      <c r="F46" s="38" t="s">
        <v>357</v>
      </c>
    </row>
    <row r="47" spans="1:6" x14ac:dyDescent="0.3">
      <c r="A47" s="14" t="s">
        <v>358</v>
      </c>
      <c r="B47" s="49">
        <f>('01_Số liệu gốc'!$F$52+'01_Số liệu gốc'!$G$52)*2</f>
        <v>70.908000000000001</v>
      </c>
    </row>
    <row r="48" spans="1:6" x14ac:dyDescent="0.3">
      <c r="A48" s="14" t="s">
        <v>359</v>
      </c>
      <c r="B48" s="50">
        <f>('01_Số liệu gốc'!$H$50-B14*('01_Số liệu gốc'!$H$47-'01_Số liệu gốc'!$H$48))/('01_Số liệu gốc'!$H$49-('01_Số liệu gốc'!$H$47-'01_Số liệu gốc'!$H$48))</f>
        <v>7.4019574894912898E-2</v>
      </c>
    </row>
    <row r="49" spans="1:6" x14ac:dyDescent="0.3">
      <c r="A49" s="14" t="s">
        <v>360</v>
      </c>
      <c r="B49" s="50">
        <f>('01_Số liệu gốc'!$F$30-B14*('01_Số liệu gốc'!$F$25-'01_Số liệu gốc'!$F$26))/('01_Số liệu gốc'!$F$29-('01_Số liệu gốc'!$F$25-'01_Số liệu gốc'!$F$26))</f>
        <v>8.7886231758972783E-2</v>
      </c>
      <c r="F49" s="38" t="s">
        <v>361</v>
      </c>
    </row>
    <row r="50" spans="1:6" x14ac:dyDescent="0.3">
      <c r="A50" s="14" t="s">
        <v>362</v>
      </c>
      <c r="B50" s="49">
        <f>'01_Số liệu gốc'!$C$72</f>
        <v>463.2349999999999</v>
      </c>
    </row>
    <row r="51" spans="1:6" x14ac:dyDescent="0.3">
      <c r="A51" s="9" t="s">
        <v>363</v>
      </c>
      <c r="B51" s="44">
        <f>B35*(1-B48)/B50</f>
        <v>0.3912131617803416</v>
      </c>
      <c r="F51" s="38" t="s">
        <v>364</v>
      </c>
    </row>
    <row r="52" spans="1:6" x14ac:dyDescent="0.3">
      <c r="A52" s="14" t="s">
        <v>365</v>
      </c>
      <c r="B52" s="49">
        <f>(('01_Số liệu gốc'!$F$46+'01_Số liệu gốc'!$G$46)-('01_Số liệu gốc'!$B$46+'01_Số liệu gốc'!$C$46))/2</f>
        <v>21.707499999999982</v>
      </c>
    </row>
    <row r="53" spans="1:6" ht="24" x14ac:dyDescent="0.3">
      <c r="A53" s="9" t="s">
        <v>366</v>
      </c>
      <c r="B53" s="24">
        <f>'01_Số liệu gốc'!$D$51+1*B52*(1-B48)</f>
        <v>48.164720077968667</v>
      </c>
      <c r="C53" s="49">
        <f>'01_Số liệu gốc'!$D$51+0.5*B52*(1-B48)</f>
        <v>38.11436003898433</v>
      </c>
      <c r="D53" s="49">
        <f>'01_Số liệu gốc'!$D$51+1.5*B52*(1-B48)</f>
        <v>58.21508011695299</v>
      </c>
      <c r="F53" s="38" t="s">
        <v>367</v>
      </c>
    </row>
    <row r="55" spans="1:6" x14ac:dyDescent="0.3">
      <c r="A55" s="11" t="s">
        <v>368</v>
      </c>
      <c r="B55" s="12"/>
      <c r="C55" s="12"/>
      <c r="D55" s="12"/>
      <c r="E55" s="12"/>
      <c r="F55" s="12"/>
    </row>
    <row r="56" spans="1:6" x14ac:dyDescent="0.3">
      <c r="A56" s="13" t="s">
        <v>308</v>
      </c>
      <c r="B56" s="13" t="s">
        <v>8</v>
      </c>
      <c r="C56" s="13" t="s">
        <v>9</v>
      </c>
      <c r="D56" s="13" t="s">
        <v>10</v>
      </c>
      <c r="E56" s="13" t="s">
        <v>369</v>
      </c>
      <c r="F56" s="13" t="s">
        <v>309</v>
      </c>
    </row>
    <row r="57" spans="1:6" x14ac:dyDescent="0.3">
      <c r="A57" s="51" t="s">
        <v>370</v>
      </c>
      <c r="B57" s="52"/>
      <c r="C57" s="52"/>
      <c r="D57" s="52"/>
      <c r="E57" s="52"/>
      <c r="F57" s="52"/>
    </row>
    <row r="58" spans="1:6" ht="24" x14ac:dyDescent="0.3">
      <c r="A58" s="14" t="s">
        <v>371</v>
      </c>
      <c r="B58" s="32">
        <v>2200</v>
      </c>
      <c r="C58" s="32">
        <v>2450</v>
      </c>
      <c r="D58" s="32">
        <v>2700</v>
      </c>
      <c r="E58" s="36">
        <f>B31</f>
        <v>2299.8130000000001</v>
      </c>
      <c r="F58" s="38" t="s">
        <v>372</v>
      </c>
    </row>
    <row r="59" spans="1:6" x14ac:dyDescent="0.3">
      <c r="A59" s="14" t="s">
        <v>373</v>
      </c>
      <c r="B59" s="32">
        <v>700</v>
      </c>
      <c r="C59" s="32">
        <v>640</v>
      </c>
      <c r="D59" s="32">
        <v>600</v>
      </c>
      <c r="E59" s="36">
        <f>B29</f>
        <v>637.20499999999993</v>
      </c>
      <c r="F59" s="38" t="s">
        <v>374</v>
      </c>
    </row>
    <row r="60" spans="1:6" x14ac:dyDescent="0.3">
      <c r="A60" s="14" t="s">
        <v>375</v>
      </c>
      <c r="B60" s="45">
        <v>-1.4999999999999999E-2</v>
      </c>
      <c r="C60" s="45">
        <v>0</v>
      </c>
      <c r="D60" s="45">
        <v>0.01</v>
      </c>
      <c r="E60" s="40">
        <f>E42-B39</f>
        <v>6.3439954856783776E-3</v>
      </c>
      <c r="F60" s="38" t="s">
        <v>376</v>
      </c>
    </row>
    <row r="61" spans="1:6" x14ac:dyDescent="0.3">
      <c r="A61" s="14" t="s">
        <v>377</v>
      </c>
      <c r="B61" s="45">
        <v>0.28000000000000003</v>
      </c>
      <c r="C61" s="45">
        <v>0.27</v>
      </c>
      <c r="D61" s="45">
        <v>0.26</v>
      </c>
      <c r="E61" s="40">
        <f>B40</f>
        <v>0.27366485883852304</v>
      </c>
      <c r="F61" s="38" t="s">
        <v>378</v>
      </c>
    </row>
    <row r="62" spans="1:6" x14ac:dyDescent="0.3">
      <c r="A62" s="14" t="s">
        <v>379</v>
      </c>
      <c r="B62" s="45">
        <v>0.11</v>
      </c>
      <c r="C62" s="45">
        <v>0.09</v>
      </c>
      <c r="D62" s="45">
        <v>0.08</v>
      </c>
      <c r="E62" s="40">
        <f>B48</f>
        <v>7.4019574894912898E-2</v>
      </c>
      <c r="F62" s="38" t="s">
        <v>380</v>
      </c>
    </row>
    <row r="63" spans="1:6" x14ac:dyDescent="0.3">
      <c r="A63" s="14" t="s">
        <v>381</v>
      </c>
      <c r="B63" s="45">
        <v>0</v>
      </c>
      <c r="C63" s="45">
        <v>0.03</v>
      </c>
      <c r="D63" s="45">
        <v>0.05</v>
      </c>
      <c r="F63" s="38" t="s">
        <v>382</v>
      </c>
    </row>
    <row r="64" spans="1:6" x14ac:dyDescent="0.3">
      <c r="A64" s="51" t="s">
        <v>383</v>
      </c>
      <c r="B64" s="52"/>
      <c r="C64" s="52"/>
      <c r="D64" s="52"/>
      <c r="E64" s="52"/>
      <c r="F64" s="52"/>
    </row>
    <row r="65" spans="1:6" ht="24" x14ac:dyDescent="0.3">
      <c r="A65" s="14" t="s">
        <v>384</v>
      </c>
      <c r="B65" s="53">
        <v>10.8</v>
      </c>
      <c r="C65" s="53">
        <v>10.8</v>
      </c>
      <c r="D65" s="53">
        <v>10.8</v>
      </c>
      <c r="E65" s="54">
        <f>'01_Số liệu gốc'!$B$138</f>
        <v>13.89</v>
      </c>
      <c r="F65" s="38" t="s">
        <v>877</v>
      </c>
    </row>
    <row r="66" spans="1:6" ht="24" x14ac:dyDescent="0.3">
      <c r="A66" s="14" t="s">
        <v>385</v>
      </c>
      <c r="B66" s="53">
        <v>6.6</v>
      </c>
      <c r="C66" s="53">
        <v>6.6</v>
      </c>
      <c r="D66" s="53">
        <v>6.6</v>
      </c>
      <c r="F66" s="38" t="s">
        <v>386</v>
      </c>
    </row>
    <row r="67" spans="1:6" x14ac:dyDescent="0.3">
      <c r="A67" s="51" t="s">
        <v>387</v>
      </c>
      <c r="B67" s="52"/>
      <c r="C67" s="52"/>
      <c r="D67" s="52"/>
      <c r="E67" s="52"/>
      <c r="F67" s="52"/>
    </row>
    <row r="68" spans="1:6" ht="24" x14ac:dyDescent="0.3">
      <c r="A68" s="14" t="s">
        <v>388</v>
      </c>
      <c r="B68" s="45">
        <v>9.5000000000000001E-2</v>
      </c>
      <c r="C68" s="45">
        <v>0.115</v>
      </c>
      <c r="D68" s="45">
        <v>0.14000000000000001</v>
      </c>
      <c r="E68" s="50">
        <f>'01_Số liệu gốc'!$E$103</f>
        <v>0.12804854510182886</v>
      </c>
      <c r="F68" s="38" t="s">
        <v>389</v>
      </c>
    </row>
    <row r="69" spans="1:6" x14ac:dyDescent="0.3">
      <c r="A69" s="51" t="s">
        <v>390</v>
      </c>
      <c r="B69" s="52"/>
      <c r="C69" s="52"/>
      <c r="D69" s="52"/>
      <c r="E69" s="52"/>
      <c r="F69" s="52"/>
    </row>
    <row r="70" spans="1:6" ht="24" x14ac:dyDescent="0.3">
      <c r="A70" s="14" t="s">
        <v>391</v>
      </c>
      <c r="B70" s="34">
        <v>1000</v>
      </c>
      <c r="C70" s="34">
        <v>1500</v>
      </c>
      <c r="D70" s="34">
        <v>2000</v>
      </c>
      <c r="E70" s="55">
        <f>'01_Số liệu gốc'!$B$129</f>
        <v>2000</v>
      </c>
      <c r="F70" s="38" t="s">
        <v>392</v>
      </c>
    </row>
    <row r="71" spans="1:6" x14ac:dyDescent="0.3">
      <c r="A71" s="14" t="s">
        <v>393</v>
      </c>
      <c r="B71" s="45">
        <v>6.5000000000000002E-2</v>
      </c>
      <c r="C71" s="45">
        <v>7.0000000000000007E-2</v>
      </c>
      <c r="D71" s="45">
        <v>7.4999999999999997E-2</v>
      </c>
      <c r="E71" s="50">
        <f>'01_Số liệu gốc'!$B$137</f>
        <v>6.3826954628651442E-2</v>
      </c>
      <c r="F71" s="38" t="s">
        <v>878</v>
      </c>
    </row>
    <row r="72" spans="1:6" x14ac:dyDescent="0.3">
      <c r="A72" s="51" t="s">
        <v>394</v>
      </c>
      <c r="B72" s="52"/>
      <c r="C72" s="52"/>
      <c r="D72" s="52"/>
      <c r="E72" s="52"/>
      <c r="F72" s="52"/>
    </row>
    <row r="73" spans="1:6" x14ac:dyDescent="0.3">
      <c r="A73" s="9" t="s">
        <v>19</v>
      </c>
      <c r="B73" s="48">
        <v>0.25</v>
      </c>
      <c r="C73" s="48">
        <v>0.5</v>
      </c>
      <c r="D73" s="48">
        <v>0.25</v>
      </c>
      <c r="F73" s="38" t="s">
        <v>395</v>
      </c>
    </row>
    <row r="74" spans="1:6" x14ac:dyDescent="0.3">
      <c r="A74" s="14" t="s">
        <v>396</v>
      </c>
      <c r="B74" s="41">
        <f>SUM(B73:D73)</f>
        <v>1</v>
      </c>
      <c r="C74" s="9" t="str">
        <f>IF(ABS(B74-1)&lt;0.000001,"ĐẠT","SAI — tổng khác 100%")</f>
        <v>ĐẠT</v>
      </c>
    </row>
  </sheetData>
  <pageMargins left="0.4" right="0.4" top="0.7" bottom="0.6" header="0.5" footer="0.5"/>
  <pageSetup paperSize="9" scale="65" fitToHeight="0" orientation="landscape" r:id="rId1"/>
  <headerFooter>
    <oddHeader>&amp;R&amp;A&amp;LMCM — Định giá DCF + tiền + dự án</oddHeader>
    <oddFooter>&amp;RTrang &amp;P / &amp;N&amp;LFairline Research — bản 13/10/2026</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5597"/>
    <pageSetUpPr fitToPage="1"/>
  </sheetPr>
  <dimension ref="A1:W261"/>
  <sheetViews>
    <sheetView showGridLines="0" zoomScale="90" workbookViewId="0">
      <pane xSplit="1" ySplit="4" topLeftCell="B5" activePane="bottomRight" state="frozen"/>
      <selection pane="topRight"/>
      <selection pane="bottomLeft"/>
      <selection pane="bottomRight"/>
    </sheetView>
  </sheetViews>
  <sheetFormatPr defaultRowHeight="14.4" x14ac:dyDescent="0.3"/>
  <cols>
    <col min="1" max="1" width="62" customWidth="1"/>
    <col min="2" max="4" width="13" customWidth="1"/>
    <col min="5" max="5" width="9" customWidth="1"/>
    <col min="6" max="6" width="58" customWidth="1"/>
    <col min="7" max="7" width="2" customWidth="1"/>
    <col min="8" max="23" width="12" customWidth="1"/>
  </cols>
  <sheetData>
    <row r="1" spans="1:23" ht="18" x14ac:dyDescent="0.3">
      <c r="A1" s="1" t="s">
        <v>820</v>
      </c>
    </row>
    <row r="2" spans="1:23" x14ac:dyDescent="0.3">
      <c r="A2" s="17" t="s">
        <v>811</v>
      </c>
    </row>
    <row r="3" spans="1:23" ht="63.9" customHeight="1" x14ac:dyDescent="0.3">
      <c r="H3" s="56" t="s">
        <v>397</v>
      </c>
      <c r="I3" s="56" t="s">
        <v>398</v>
      </c>
      <c r="J3" s="56" t="s">
        <v>399</v>
      </c>
      <c r="K3" s="56" t="s">
        <v>400</v>
      </c>
      <c r="L3" s="56" t="s">
        <v>401</v>
      </c>
      <c r="M3" s="56" t="s">
        <v>402</v>
      </c>
      <c r="N3" s="56" t="s">
        <v>403</v>
      </c>
      <c r="O3" s="56" t="s">
        <v>404</v>
      </c>
      <c r="P3" s="56" t="s">
        <v>405</v>
      </c>
      <c r="Q3" s="56" t="s">
        <v>406</v>
      </c>
      <c r="R3" s="56" t="s">
        <v>407</v>
      </c>
      <c r="S3" s="56" t="s">
        <v>879</v>
      </c>
      <c r="T3" s="56" t="s">
        <v>408</v>
      </c>
      <c r="U3" s="56" t="s">
        <v>409</v>
      </c>
      <c r="V3" s="56" t="s">
        <v>410</v>
      </c>
      <c r="W3" s="56" t="s">
        <v>880</v>
      </c>
    </row>
    <row r="4" spans="1:23" x14ac:dyDescent="0.3">
      <c r="A4" s="13" t="s">
        <v>411</v>
      </c>
      <c r="B4" s="13" t="s">
        <v>8</v>
      </c>
      <c r="C4" s="13" t="s">
        <v>9</v>
      </c>
      <c r="D4" s="13" t="s">
        <v>10</v>
      </c>
      <c r="E4" s="13" t="s">
        <v>11</v>
      </c>
      <c r="F4" s="13" t="s">
        <v>28</v>
      </c>
      <c r="G4" s="13"/>
      <c r="H4" s="13" t="s">
        <v>412</v>
      </c>
      <c r="I4" s="13" t="s">
        <v>413</v>
      </c>
      <c r="J4" s="13" t="s">
        <v>414</v>
      </c>
      <c r="K4" s="13" t="s">
        <v>415</v>
      </c>
      <c r="L4" s="13" t="s">
        <v>416</v>
      </c>
      <c r="M4" s="13" t="s">
        <v>417</v>
      </c>
      <c r="N4" s="13" t="s">
        <v>418</v>
      </c>
      <c r="O4" s="13" t="s">
        <v>419</v>
      </c>
      <c r="P4" s="13" t="s">
        <v>420</v>
      </c>
      <c r="Q4" s="13" t="s">
        <v>421</v>
      </c>
      <c r="R4" s="13" t="s">
        <v>422</v>
      </c>
      <c r="S4" s="13" t="s">
        <v>423</v>
      </c>
      <c r="T4" s="13" t="s">
        <v>424</v>
      </c>
      <c r="U4" s="13" t="s">
        <v>425</v>
      </c>
      <c r="V4" s="13" t="s">
        <v>426</v>
      </c>
      <c r="W4" s="13" t="s">
        <v>810</v>
      </c>
    </row>
    <row r="5" spans="1:23" x14ac:dyDescent="0.3">
      <c r="A5" s="51" t="s">
        <v>427</v>
      </c>
      <c r="B5" s="52"/>
      <c r="C5" s="52"/>
      <c r="D5" s="52"/>
      <c r="E5" s="52"/>
      <c r="F5" s="52"/>
      <c r="G5" s="52"/>
      <c r="H5" s="52"/>
      <c r="I5" s="52"/>
      <c r="J5" s="52"/>
      <c r="K5" s="52"/>
      <c r="L5" s="52"/>
      <c r="M5" s="52"/>
      <c r="N5" s="52"/>
      <c r="O5" s="52"/>
      <c r="P5" s="52"/>
      <c r="Q5" s="52"/>
      <c r="R5" s="52"/>
      <c r="S5" s="52"/>
      <c r="T5" s="52"/>
      <c r="U5" s="52"/>
      <c r="V5" s="52"/>
      <c r="W5" s="52"/>
    </row>
    <row r="6" spans="1:23" x14ac:dyDescent="0.3">
      <c r="A6" s="14" t="s">
        <v>428</v>
      </c>
      <c r="B6" s="27">
        <f>'02_Giả định'!B58</f>
        <v>2200</v>
      </c>
      <c r="C6" s="27">
        <f>'02_Giả định'!C58</f>
        <v>2450</v>
      </c>
      <c r="D6" s="27">
        <f>'02_Giả định'!D58</f>
        <v>2700</v>
      </c>
      <c r="H6" s="43">
        <f t="shared" ref="H6:O14" si="0">$C6</f>
        <v>2450</v>
      </c>
      <c r="I6" s="43">
        <f t="shared" si="0"/>
        <v>2450</v>
      </c>
      <c r="J6" s="43">
        <f t="shared" si="0"/>
        <v>2450</v>
      </c>
      <c r="K6" s="43">
        <f t="shared" si="0"/>
        <v>2450</v>
      </c>
      <c r="L6" s="43">
        <f t="shared" si="0"/>
        <v>2450</v>
      </c>
      <c r="M6" s="43">
        <f t="shared" si="0"/>
        <v>2450</v>
      </c>
      <c r="N6" s="43">
        <f t="shared" si="0"/>
        <v>2450</v>
      </c>
      <c r="O6" s="43">
        <f t="shared" si="0"/>
        <v>2450</v>
      </c>
      <c r="P6" s="32">
        <f>'01_Số liệu gốc'!$D$85</f>
        <v>2166.7860000000001</v>
      </c>
      <c r="Q6" s="32">
        <f>'01_Số liệu gốc'!$B$85</f>
        <v>2710.1229999999996</v>
      </c>
      <c r="R6" s="43">
        <f t="shared" ref="R6:W7" si="1">$C6</f>
        <v>2450</v>
      </c>
      <c r="S6" s="43">
        <f t="shared" si="1"/>
        <v>2450</v>
      </c>
      <c r="T6" s="43">
        <f t="shared" si="1"/>
        <v>2450</v>
      </c>
      <c r="U6" s="43">
        <f t="shared" si="1"/>
        <v>2450</v>
      </c>
      <c r="V6" s="43">
        <f t="shared" si="1"/>
        <v>2450</v>
      </c>
      <c r="W6" s="43">
        <f t="shared" si="1"/>
        <v>2450</v>
      </c>
    </row>
    <row r="7" spans="1:23" x14ac:dyDescent="0.3">
      <c r="A7" s="14" t="s">
        <v>429</v>
      </c>
      <c r="B7" s="27">
        <f>'02_Giả định'!B59</f>
        <v>700</v>
      </c>
      <c r="C7" s="27">
        <f>'02_Giả định'!C59</f>
        <v>640</v>
      </c>
      <c r="D7" s="27">
        <f>'02_Giả định'!D59</f>
        <v>600</v>
      </c>
      <c r="H7" s="43">
        <f t="shared" si="0"/>
        <v>640</v>
      </c>
      <c r="I7" s="43">
        <f t="shared" si="0"/>
        <v>640</v>
      </c>
      <c r="J7" s="43">
        <f t="shared" si="0"/>
        <v>640</v>
      </c>
      <c r="K7" s="43">
        <f t="shared" si="0"/>
        <v>640</v>
      </c>
      <c r="L7" s="43">
        <f t="shared" si="0"/>
        <v>640</v>
      </c>
      <c r="M7" s="43">
        <f t="shared" si="0"/>
        <v>640</v>
      </c>
      <c r="N7" s="43">
        <f t="shared" si="0"/>
        <v>640</v>
      </c>
      <c r="O7" s="43">
        <f t="shared" si="0"/>
        <v>640</v>
      </c>
      <c r="P7" s="43">
        <f t="shared" ref="P7:Q26" si="2">$C7</f>
        <v>640</v>
      </c>
      <c r="Q7" s="43">
        <f t="shared" si="2"/>
        <v>640</v>
      </c>
      <c r="R7" s="43">
        <f t="shared" si="1"/>
        <v>640</v>
      </c>
      <c r="S7" s="43">
        <f t="shared" si="1"/>
        <v>640</v>
      </c>
      <c r="T7" s="43">
        <f t="shared" si="1"/>
        <v>640</v>
      </c>
      <c r="U7" s="43">
        <f t="shared" si="1"/>
        <v>640</v>
      </c>
      <c r="V7" s="43">
        <f t="shared" si="1"/>
        <v>640</v>
      </c>
      <c r="W7" s="43">
        <f t="shared" si="1"/>
        <v>640</v>
      </c>
    </row>
    <row r="8" spans="1:23" x14ac:dyDescent="0.3">
      <c r="A8" s="14" t="s">
        <v>430</v>
      </c>
      <c r="B8" s="19">
        <f>'02_Giả định'!B60</f>
        <v>-1.4999999999999999E-2</v>
      </c>
      <c r="C8" s="19">
        <f>'02_Giả định'!C60</f>
        <v>0</v>
      </c>
      <c r="D8" s="19">
        <f>'02_Giả định'!D60</f>
        <v>0.01</v>
      </c>
      <c r="H8" s="57">
        <f t="shared" si="0"/>
        <v>0</v>
      </c>
      <c r="I8" s="57">
        <f t="shared" si="0"/>
        <v>0</v>
      </c>
      <c r="J8" s="57">
        <f t="shared" si="0"/>
        <v>0</v>
      </c>
      <c r="K8" s="57">
        <f t="shared" si="0"/>
        <v>0</v>
      </c>
      <c r="L8" s="57">
        <f t="shared" si="0"/>
        <v>0</v>
      </c>
      <c r="M8" s="57">
        <f t="shared" si="0"/>
        <v>0</v>
      </c>
      <c r="N8" s="57">
        <f t="shared" si="0"/>
        <v>0</v>
      </c>
      <c r="O8" s="57">
        <f t="shared" si="0"/>
        <v>0</v>
      </c>
      <c r="P8" s="57">
        <f t="shared" si="2"/>
        <v>0</v>
      </c>
      <c r="Q8" s="57">
        <f t="shared" si="2"/>
        <v>0</v>
      </c>
      <c r="R8" s="57">
        <f>$C8</f>
        <v>0</v>
      </c>
      <c r="S8" s="57">
        <f>$C8</f>
        <v>0</v>
      </c>
      <c r="T8" s="57">
        <f>$C8</f>
        <v>0</v>
      </c>
      <c r="U8" s="45">
        <f>'02_Giả định'!$E$42-'02_Giả định'!$B$39</f>
        <v>6.3439954856783776E-3</v>
      </c>
      <c r="V8" s="57">
        <f t="shared" ref="V8:W32" si="3">$C8</f>
        <v>0</v>
      </c>
      <c r="W8" s="57">
        <f t="shared" si="3"/>
        <v>0</v>
      </c>
    </row>
    <row r="9" spans="1:23" x14ac:dyDescent="0.3">
      <c r="A9" s="14" t="s">
        <v>377</v>
      </c>
      <c r="B9" s="19">
        <f>'02_Giả định'!B61</f>
        <v>0.28000000000000003</v>
      </c>
      <c r="C9" s="19">
        <f>'02_Giả định'!C61</f>
        <v>0.27</v>
      </c>
      <c r="D9" s="19">
        <f>'02_Giả định'!D61</f>
        <v>0.26</v>
      </c>
      <c r="H9" s="57">
        <f t="shared" si="0"/>
        <v>0.27</v>
      </c>
      <c r="I9" s="57">
        <f t="shared" si="0"/>
        <v>0.27</v>
      </c>
      <c r="J9" s="57">
        <f t="shared" si="0"/>
        <v>0.27</v>
      </c>
      <c r="K9" s="57">
        <f t="shared" si="0"/>
        <v>0.27</v>
      </c>
      <c r="L9" s="57">
        <f t="shared" si="0"/>
        <v>0.27</v>
      </c>
      <c r="M9" s="57">
        <f t="shared" si="0"/>
        <v>0.27</v>
      </c>
      <c r="N9" s="57">
        <f t="shared" si="0"/>
        <v>0.27</v>
      </c>
      <c r="O9" s="57">
        <f t="shared" si="0"/>
        <v>0.27</v>
      </c>
      <c r="P9" s="57">
        <f t="shared" si="2"/>
        <v>0.27</v>
      </c>
      <c r="Q9" s="57">
        <f t="shared" si="2"/>
        <v>0.27</v>
      </c>
      <c r="R9" s="45">
        <f>'02_Giả định'!$B$40</f>
        <v>0.27366485883852304</v>
      </c>
      <c r="S9" s="57">
        <f t="shared" ref="S9:U11" si="4">$C9</f>
        <v>0.27</v>
      </c>
      <c r="T9" s="57">
        <f t="shared" si="4"/>
        <v>0.27</v>
      </c>
      <c r="U9" s="57">
        <f t="shared" si="4"/>
        <v>0.27</v>
      </c>
      <c r="V9" s="57">
        <f t="shared" si="3"/>
        <v>0.27</v>
      </c>
      <c r="W9" s="57">
        <f t="shared" si="3"/>
        <v>0.27</v>
      </c>
    </row>
    <row r="10" spans="1:23" x14ac:dyDescent="0.3">
      <c r="A10" s="14" t="s">
        <v>431</v>
      </c>
      <c r="B10" s="19">
        <f>'02_Giả định'!B62</f>
        <v>0.11</v>
      </c>
      <c r="C10" s="19">
        <f>'02_Giả định'!C62</f>
        <v>0.09</v>
      </c>
      <c r="D10" s="19">
        <f>'02_Giả định'!D62</f>
        <v>0.08</v>
      </c>
      <c r="H10" s="57">
        <f t="shared" si="0"/>
        <v>0.09</v>
      </c>
      <c r="I10" s="57">
        <f t="shared" si="0"/>
        <v>0.09</v>
      </c>
      <c r="J10" s="57">
        <f t="shared" si="0"/>
        <v>0.09</v>
      </c>
      <c r="K10" s="57">
        <f t="shared" si="0"/>
        <v>0.09</v>
      </c>
      <c r="L10" s="57">
        <f t="shared" si="0"/>
        <v>0.09</v>
      </c>
      <c r="M10" s="57">
        <f t="shared" si="0"/>
        <v>0.09</v>
      </c>
      <c r="N10" s="57">
        <f t="shared" si="0"/>
        <v>0.09</v>
      </c>
      <c r="O10" s="57">
        <f t="shared" si="0"/>
        <v>0.09</v>
      </c>
      <c r="P10" s="57">
        <f t="shared" si="2"/>
        <v>0.09</v>
      </c>
      <c r="Q10" s="57">
        <f t="shared" si="2"/>
        <v>0.09</v>
      </c>
      <c r="R10" s="57">
        <f t="shared" ref="R10:R43" si="5">$C10</f>
        <v>0.09</v>
      </c>
      <c r="S10" s="57">
        <f t="shared" si="4"/>
        <v>0.09</v>
      </c>
      <c r="T10" s="57">
        <f t="shared" si="4"/>
        <v>0.09</v>
      </c>
      <c r="U10" s="57">
        <f t="shared" si="4"/>
        <v>0.09</v>
      </c>
      <c r="V10" s="57">
        <f t="shared" si="3"/>
        <v>0.09</v>
      </c>
      <c r="W10" s="57">
        <f t="shared" si="3"/>
        <v>0.09</v>
      </c>
    </row>
    <row r="11" spans="1:23" x14ac:dyDescent="0.3">
      <c r="A11" s="14" t="s">
        <v>432</v>
      </c>
      <c r="B11" s="19">
        <f>'02_Giả định'!B63</f>
        <v>0</v>
      </c>
      <c r="C11" s="19">
        <f>'02_Giả định'!C63</f>
        <v>0.03</v>
      </c>
      <c r="D11" s="19">
        <f>'02_Giả định'!D63</f>
        <v>0.05</v>
      </c>
      <c r="H11" s="57">
        <f t="shared" si="0"/>
        <v>0.03</v>
      </c>
      <c r="I11" s="57">
        <f t="shared" si="0"/>
        <v>0.03</v>
      </c>
      <c r="J11" s="57">
        <f t="shared" si="0"/>
        <v>0.03</v>
      </c>
      <c r="K11" s="57">
        <f t="shared" si="0"/>
        <v>0.03</v>
      </c>
      <c r="L11" s="57">
        <f t="shared" si="0"/>
        <v>0.03</v>
      </c>
      <c r="M11" s="57">
        <f t="shared" si="0"/>
        <v>0.03</v>
      </c>
      <c r="N11" s="57">
        <f t="shared" si="0"/>
        <v>0.03</v>
      </c>
      <c r="O11" s="57">
        <f t="shared" si="0"/>
        <v>0.03</v>
      </c>
      <c r="P11" s="57">
        <f t="shared" si="2"/>
        <v>0.03</v>
      </c>
      <c r="Q11" s="57">
        <f t="shared" si="2"/>
        <v>0.03</v>
      </c>
      <c r="R11" s="57">
        <f t="shared" si="5"/>
        <v>0.03</v>
      </c>
      <c r="S11" s="57">
        <f t="shared" si="4"/>
        <v>0.03</v>
      </c>
      <c r="T11" s="57">
        <f t="shared" si="4"/>
        <v>0.03</v>
      </c>
      <c r="U11" s="57">
        <f t="shared" si="4"/>
        <v>0.03</v>
      </c>
      <c r="V11" s="57">
        <f t="shared" si="3"/>
        <v>0.03</v>
      </c>
      <c r="W11" s="57">
        <f t="shared" si="3"/>
        <v>0.03</v>
      </c>
    </row>
    <row r="12" spans="1:23" x14ac:dyDescent="0.3">
      <c r="A12" s="14" t="s">
        <v>84</v>
      </c>
      <c r="B12" s="58">
        <f>'02_Giả định'!B65</f>
        <v>10.8</v>
      </c>
      <c r="C12" s="58">
        <f>'02_Giả định'!C65</f>
        <v>10.8</v>
      </c>
      <c r="D12" s="58">
        <f>'02_Giả định'!D65</f>
        <v>10.8</v>
      </c>
      <c r="H12" s="59">
        <f t="shared" si="0"/>
        <v>10.8</v>
      </c>
      <c r="I12" s="59">
        <f t="shared" si="0"/>
        <v>10.8</v>
      </c>
      <c r="J12" s="59">
        <f t="shared" si="0"/>
        <v>10.8</v>
      </c>
      <c r="K12" s="59">
        <f t="shared" si="0"/>
        <v>10.8</v>
      </c>
      <c r="L12" s="59">
        <f t="shared" si="0"/>
        <v>10.8</v>
      </c>
      <c r="M12" s="59">
        <f t="shared" si="0"/>
        <v>10.8</v>
      </c>
      <c r="N12" s="59">
        <f t="shared" si="0"/>
        <v>10.8</v>
      </c>
      <c r="O12" s="59">
        <f t="shared" si="0"/>
        <v>10.8</v>
      </c>
      <c r="P12" s="59">
        <f t="shared" si="2"/>
        <v>10.8</v>
      </c>
      <c r="Q12" s="59">
        <f t="shared" si="2"/>
        <v>10.8</v>
      </c>
      <c r="R12" s="59">
        <f t="shared" si="5"/>
        <v>10.8</v>
      </c>
      <c r="S12" s="53">
        <v>10</v>
      </c>
      <c r="T12" s="53">
        <f>'01_Số liệu gốc'!$B$138</f>
        <v>13.89</v>
      </c>
      <c r="U12" s="59">
        <f t="shared" ref="U12:W43" si="6">$C12</f>
        <v>10.8</v>
      </c>
      <c r="V12" s="59">
        <f t="shared" si="3"/>
        <v>10.8</v>
      </c>
      <c r="W12" s="59">
        <f t="shared" si="3"/>
        <v>10.8</v>
      </c>
    </row>
    <row r="13" spans="1:23" x14ac:dyDescent="0.3">
      <c r="A13" s="14" t="s">
        <v>385</v>
      </c>
      <c r="B13" s="58">
        <f>'02_Giả định'!B66</f>
        <v>6.6</v>
      </c>
      <c r="C13" s="58">
        <f>'02_Giả định'!C66</f>
        <v>6.6</v>
      </c>
      <c r="D13" s="58">
        <f>'02_Giả định'!D66</f>
        <v>6.6</v>
      </c>
      <c r="H13" s="59">
        <f t="shared" si="0"/>
        <v>6.6</v>
      </c>
      <c r="I13" s="59">
        <f t="shared" si="0"/>
        <v>6.6</v>
      </c>
      <c r="J13" s="59">
        <f t="shared" si="0"/>
        <v>6.6</v>
      </c>
      <c r="K13" s="59">
        <f t="shared" si="0"/>
        <v>6.6</v>
      </c>
      <c r="L13" s="59">
        <f t="shared" si="0"/>
        <v>6.6</v>
      </c>
      <c r="M13" s="59">
        <f t="shared" si="0"/>
        <v>6.6</v>
      </c>
      <c r="N13" s="59">
        <f t="shared" si="0"/>
        <v>6.6</v>
      </c>
      <c r="O13" s="59">
        <f t="shared" si="0"/>
        <v>6.6</v>
      </c>
      <c r="P13" s="59">
        <f t="shared" si="2"/>
        <v>6.6</v>
      </c>
      <c r="Q13" s="59">
        <f t="shared" si="2"/>
        <v>6.6</v>
      </c>
      <c r="R13" s="59">
        <f t="shared" si="5"/>
        <v>6.6</v>
      </c>
      <c r="S13" s="59">
        <f t="shared" ref="S13:T43" si="7">$C13</f>
        <v>6.6</v>
      </c>
      <c r="T13" s="59">
        <f t="shared" si="7"/>
        <v>6.6</v>
      </c>
      <c r="U13" s="59">
        <f t="shared" si="6"/>
        <v>6.6</v>
      </c>
      <c r="V13" s="59">
        <f t="shared" si="3"/>
        <v>6.6</v>
      </c>
      <c r="W13" s="59">
        <f t="shared" si="3"/>
        <v>6.6</v>
      </c>
    </row>
    <row r="14" spans="1:23" x14ac:dyDescent="0.3">
      <c r="A14" s="14" t="s">
        <v>433</v>
      </c>
      <c r="B14" s="19">
        <f>'02_Giả định'!B68</f>
        <v>9.5000000000000001E-2</v>
      </c>
      <c r="C14" s="19">
        <f>'02_Giả định'!C68</f>
        <v>0.115</v>
      </c>
      <c r="D14" s="19">
        <f>'02_Giả định'!D68</f>
        <v>0.14000000000000001</v>
      </c>
      <c r="H14" s="57">
        <f t="shared" si="0"/>
        <v>0.115</v>
      </c>
      <c r="I14" s="57">
        <f t="shared" si="0"/>
        <v>0.115</v>
      </c>
      <c r="J14" s="57">
        <f t="shared" si="0"/>
        <v>0.115</v>
      </c>
      <c r="K14" s="57">
        <f t="shared" si="0"/>
        <v>0.115</v>
      </c>
      <c r="L14" s="57">
        <f t="shared" si="0"/>
        <v>0.115</v>
      </c>
      <c r="M14" s="57">
        <f t="shared" si="0"/>
        <v>0.115</v>
      </c>
      <c r="N14" s="57">
        <f t="shared" si="0"/>
        <v>0.115</v>
      </c>
      <c r="O14" s="57">
        <f t="shared" si="0"/>
        <v>0.115</v>
      </c>
      <c r="P14" s="57">
        <f t="shared" si="2"/>
        <v>0.115</v>
      </c>
      <c r="Q14" s="57">
        <f t="shared" si="2"/>
        <v>0.115</v>
      </c>
      <c r="R14" s="57">
        <f t="shared" si="5"/>
        <v>0.115</v>
      </c>
      <c r="S14" s="57">
        <f t="shared" si="7"/>
        <v>0.115</v>
      </c>
      <c r="T14" s="57">
        <f t="shared" si="7"/>
        <v>0.115</v>
      </c>
      <c r="U14" s="57">
        <f t="shared" si="6"/>
        <v>0.115</v>
      </c>
      <c r="V14" s="57">
        <f t="shared" si="3"/>
        <v>0.115</v>
      </c>
      <c r="W14" s="57">
        <f t="shared" si="3"/>
        <v>0.115</v>
      </c>
    </row>
    <row r="15" spans="1:23" x14ac:dyDescent="0.3">
      <c r="A15" s="14" t="s">
        <v>434</v>
      </c>
      <c r="B15" s="15">
        <f>'02_Giả định'!B70</f>
        <v>1000</v>
      </c>
      <c r="C15" s="15">
        <f>'02_Giả định'!C70</f>
        <v>1500</v>
      </c>
      <c r="D15" s="15">
        <f>'02_Giả định'!D70</f>
        <v>2000</v>
      </c>
      <c r="H15" s="29">
        <f t="shared" ref="H15:N20" si="8">$C15</f>
        <v>1500</v>
      </c>
      <c r="I15" s="29">
        <f t="shared" si="8"/>
        <v>1500</v>
      </c>
      <c r="J15" s="29">
        <f t="shared" si="8"/>
        <v>1500</v>
      </c>
      <c r="K15" s="29">
        <f t="shared" si="8"/>
        <v>1500</v>
      </c>
      <c r="L15" s="29">
        <f t="shared" si="8"/>
        <v>1500</v>
      </c>
      <c r="M15" s="29">
        <f t="shared" si="8"/>
        <v>1500</v>
      </c>
      <c r="N15" s="29">
        <f t="shared" si="8"/>
        <v>1500</v>
      </c>
      <c r="O15" s="34">
        <v>1000</v>
      </c>
      <c r="P15" s="29">
        <f t="shared" si="2"/>
        <v>1500</v>
      </c>
      <c r="Q15" s="29">
        <f t="shared" si="2"/>
        <v>1500</v>
      </c>
      <c r="R15" s="29">
        <f t="shared" si="5"/>
        <v>1500</v>
      </c>
      <c r="S15" s="29">
        <f t="shared" si="7"/>
        <v>1500</v>
      </c>
      <c r="T15" s="29">
        <f t="shared" si="7"/>
        <v>1500</v>
      </c>
      <c r="U15" s="29">
        <f t="shared" si="6"/>
        <v>1500</v>
      </c>
      <c r="V15" s="29">
        <f t="shared" si="3"/>
        <v>1500</v>
      </c>
      <c r="W15" s="29">
        <f t="shared" si="3"/>
        <v>1500</v>
      </c>
    </row>
    <row r="16" spans="1:23" x14ac:dyDescent="0.3">
      <c r="A16" s="14" t="s">
        <v>393</v>
      </c>
      <c r="B16" s="19">
        <f>'02_Giả định'!B71</f>
        <v>6.5000000000000002E-2</v>
      </c>
      <c r="C16" s="19">
        <f>'02_Giả định'!C71</f>
        <v>7.0000000000000007E-2</v>
      </c>
      <c r="D16" s="19">
        <f>'02_Giả định'!D71</f>
        <v>7.4999999999999997E-2</v>
      </c>
      <c r="H16" s="57">
        <f t="shared" si="8"/>
        <v>7.0000000000000007E-2</v>
      </c>
      <c r="I16" s="57">
        <f t="shared" si="8"/>
        <v>7.0000000000000007E-2</v>
      </c>
      <c r="J16" s="57">
        <f t="shared" si="8"/>
        <v>7.0000000000000007E-2</v>
      </c>
      <c r="K16" s="57">
        <f t="shared" si="8"/>
        <v>7.0000000000000007E-2</v>
      </c>
      <c r="L16" s="57">
        <f t="shared" si="8"/>
        <v>7.0000000000000007E-2</v>
      </c>
      <c r="M16" s="57">
        <f t="shared" si="8"/>
        <v>7.0000000000000007E-2</v>
      </c>
      <c r="N16" s="57">
        <f t="shared" si="8"/>
        <v>7.0000000000000007E-2</v>
      </c>
      <c r="O16" s="57">
        <f t="shared" ref="O16:O43" si="9">$C16</f>
        <v>7.0000000000000007E-2</v>
      </c>
      <c r="P16" s="57">
        <f t="shared" si="2"/>
        <v>7.0000000000000007E-2</v>
      </c>
      <c r="Q16" s="57">
        <f t="shared" si="2"/>
        <v>7.0000000000000007E-2</v>
      </c>
      <c r="R16" s="57">
        <f t="shared" si="5"/>
        <v>7.0000000000000007E-2</v>
      </c>
      <c r="S16" s="57">
        <f t="shared" si="7"/>
        <v>7.0000000000000007E-2</v>
      </c>
      <c r="T16" s="57">
        <f t="shared" si="7"/>
        <v>7.0000000000000007E-2</v>
      </c>
      <c r="U16" s="57">
        <f t="shared" si="6"/>
        <v>7.0000000000000007E-2</v>
      </c>
      <c r="V16" s="57">
        <f t="shared" si="3"/>
        <v>7.0000000000000007E-2</v>
      </c>
      <c r="W16" s="57">
        <f t="shared" si="3"/>
        <v>7.0000000000000007E-2</v>
      </c>
    </row>
    <row r="17" spans="1:23" x14ac:dyDescent="0.3">
      <c r="A17" s="14" t="s">
        <v>435</v>
      </c>
      <c r="B17" s="27">
        <f>'06_Dự án'!B6</f>
        <v>860</v>
      </c>
      <c r="C17" s="27">
        <f>'06_Dự án'!C6</f>
        <v>784</v>
      </c>
      <c r="D17" s="27">
        <f>'06_Dự án'!D6</f>
        <v>784</v>
      </c>
      <c r="H17" s="43">
        <f t="shared" si="8"/>
        <v>784</v>
      </c>
      <c r="I17" s="43">
        <f t="shared" si="8"/>
        <v>784</v>
      </c>
      <c r="J17" s="43">
        <f t="shared" si="8"/>
        <v>784</v>
      </c>
      <c r="K17" s="43">
        <f t="shared" si="8"/>
        <v>784</v>
      </c>
      <c r="L17" s="43">
        <f t="shared" si="8"/>
        <v>784</v>
      </c>
      <c r="M17" s="43">
        <f t="shared" si="8"/>
        <v>784</v>
      </c>
      <c r="N17" s="43">
        <f t="shared" si="8"/>
        <v>784</v>
      </c>
      <c r="O17" s="43">
        <f t="shared" si="9"/>
        <v>784</v>
      </c>
      <c r="P17" s="43">
        <f t="shared" si="2"/>
        <v>784</v>
      </c>
      <c r="Q17" s="43">
        <f t="shared" si="2"/>
        <v>784</v>
      </c>
      <c r="R17" s="43">
        <f t="shared" si="5"/>
        <v>784</v>
      </c>
      <c r="S17" s="43">
        <f t="shared" si="7"/>
        <v>784</v>
      </c>
      <c r="T17" s="43">
        <f t="shared" si="7"/>
        <v>784</v>
      </c>
      <c r="U17" s="43">
        <f t="shared" si="6"/>
        <v>784</v>
      </c>
      <c r="V17" s="43">
        <f t="shared" si="3"/>
        <v>784</v>
      </c>
      <c r="W17" s="43">
        <f t="shared" si="3"/>
        <v>784</v>
      </c>
    </row>
    <row r="18" spans="1:23" x14ac:dyDescent="0.3">
      <c r="A18" s="14" t="s">
        <v>436</v>
      </c>
      <c r="B18" s="27">
        <f>'06_Dự án'!B7</f>
        <v>336</v>
      </c>
      <c r="C18" s="27">
        <f>'06_Dự án'!C7</f>
        <v>336</v>
      </c>
      <c r="D18" s="27">
        <f>'06_Dự án'!D7</f>
        <v>336</v>
      </c>
      <c r="H18" s="43">
        <f t="shared" si="8"/>
        <v>336</v>
      </c>
      <c r="I18" s="43">
        <f t="shared" si="8"/>
        <v>336</v>
      </c>
      <c r="J18" s="43">
        <f t="shared" si="8"/>
        <v>336</v>
      </c>
      <c r="K18" s="43">
        <f t="shared" si="8"/>
        <v>336</v>
      </c>
      <c r="L18" s="43">
        <f t="shared" si="8"/>
        <v>336</v>
      </c>
      <c r="M18" s="43">
        <f t="shared" si="8"/>
        <v>336</v>
      </c>
      <c r="N18" s="43">
        <f t="shared" si="8"/>
        <v>336</v>
      </c>
      <c r="O18" s="43">
        <f t="shared" si="9"/>
        <v>336</v>
      </c>
      <c r="P18" s="43">
        <f t="shared" si="2"/>
        <v>336</v>
      </c>
      <c r="Q18" s="43">
        <f t="shared" si="2"/>
        <v>336</v>
      </c>
      <c r="R18" s="43">
        <f t="shared" si="5"/>
        <v>336</v>
      </c>
      <c r="S18" s="43">
        <f t="shared" si="7"/>
        <v>336</v>
      </c>
      <c r="T18" s="43">
        <f t="shared" si="7"/>
        <v>336</v>
      </c>
      <c r="U18" s="43">
        <f t="shared" si="6"/>
        <v>336</v>
      </c>
      <c r="V18" s="43">
        <f t="shared" si="3"/>
        <v>336</v>
      </c>
      <c r="W18" s="43">
        <f t="shared" si="3"/>
        <v>336</v>
      </c>
    </row>
    <row r="19" spans="1:23" x14ac:dyDescent="0.3">
      <c r="A19" s="14" t="s">
        <v>437</v>
      </c>
      <c r="B19" s="27">
        <f>'06_Dự án'!B8</f>
        <v>18</v>
      </c>
      <c r="C19" s="27">
        <f>'06_Dự án'!C8</f>
        <v>20</v>
      </c>
      <c r="D19" s="27">
        <f>'06_Dự án'!D8</f>
        <v>22</v>
      </c>
      <c r="H19" s="43">
        <f t="shared" si="8"/>
        <v>20</v>
      </c>
      <c r="I19" s="43">
        <f t="shared" si="8"/>
        <v>20</v>
      </c>
      <c r="J19" s="43">
        <f t="shared" si="8"/>
        <v>20</v>
      </c>
      <c r="K19" s="43">
        <f t="shared" si="8"/>
        <v>20</v>
      </c>
      <c r="L19" s="43">
        <f t="shared" si="8"/>
        <v>20</v>
      </c>
      <c r="M19" s="43">
        <f t="shared" si="8"/>
        <v>20</v>
      </c>
      <c r="N19" s="43">
        <f t="shared" si="8"/>
        <v>20</v>
      </c>
      <c r="O19" s="43">
        <f t="shared" si="9"/>
        <v>20</v>
      </c>
      <c r="P19" s="43">
        <f t="shared" si="2"/>
        <v>20</v>
      </c>
      <c r="Q19" s="43">
        <f t="shared" si="2"/>
        <v>20</v>
      </c>
      <c r="R19" s="43">
        <f t="shared" si="5"/>
        <v>20</v>
      </c>
      <c r="S19" s="43">
        <f t="shared" si="7"/>
        <v>20</v>
      </c>
      <c r="T19" s="43">
        <f t="shared" si="7"/>
        <v>20</v>
      </c>
      <c r="U19" s="43">
        <f t="shared" si="6"/>
        <v>20</v>
      </c>
      <c r="V19" s="43">
        <f t="shared" si="3"/>
        <v>20</v>
      </c>
      <c r="W19" s="43">
        <f t="shared" si="3"/>
        <v>20</v>
      </c>
    </row>
    <row r="20" spans="1:23" x14ac:dyDescent="0.3">
      <c r="A20" s="14" t="s">
        <v>438</v>
      </c>
      <c r="B20" s="16">
        <f>'06_Dự án'!B9</f>
        <v>0.3</v>
      </c>
      <c r="C20" s="16">
        <f>'06_Dự án'!C9</f>
        <v>0.5</v>
      </c>
      <c r="D20" s="16">
        <f>'06_Dự án'!D9</f>
        <v>0.6</v>
      </c>
      <c r="H20" s="60">
        <f t="shared" si="8"/>
        <v>0.5</v>
      </c>
      <c r="I20" s="60">
        <f t="shared" si="8"/>
        <v>0.5</v>
      </c>
      <c r="J20" s="60">
        <f t="shared" si="8"/>
        <v>0.5</v>
      </c>
      <c r="K20" s="60">
        <f t="shared" si="8"/>
        <v>0.5</v>
      </c>
      <c r="L20" s="60">
        <f t="shared" si="8"/>
        <v>0.5</v>
      </c>
      <c r="M20" s="60">
        <f t="shared" si="8"/>
        <v>0.5</v>
      </c>
      <c r="N20" s="60">
        <f t="shared" si="8"/>
        <v>0.5</v>
      </c>
      <c r="O20" s="60">
        <f t="shared" si="9"/>
        <v>0.5</v>
      </c>
      <c r="P20" s="60">
        <f t="shared" si="2"/>
        <v>0.5</v>
      </c>
      <c r="Q20" s="60">
        <f t="shared" si="2"/>
        <v>0.5</v>
      </c>
      <c r="R20" s="60">
        <f t="shared" si="5"/>
        <v>0.5</v>
      </c>
      <c r="S20" s="60">
        <f t="shared" si="7"/>
        <v>0.5</v>
      </c>
      <c r="T20" s="60">
        <f t="shared" si="7"/>
        <v>0.5</v>
      </c>
      <c r="U20" s="60">
        <f t="shared" si="6"/>
        <v>0.5</v>
      </c>
      <c r="V20" s="60">
        <f t="shared" si="3"/>
        <v>0.5</v>
      </c>
      <c r="W20" s="60">
        <f t="shared" si="3"/>
        <v>0.5</v>
      </c>
    </row>
    <row r="21" spans="1:23" x14ac:dyDescent="0.3">
      <c r="A21" s="14" t="s">
        <v>439</v>
      </c>
      <c r="B21" s="15">
        <f>'06_Dự án'!B10</f>
        <v>13000</v>
      </c>
      <c r="C21" s="15">
        <f>'06_Dự án'!C10</f>
        <v>14500</v>
      </c>
      <c r="D21" s="15">
        <f>'06_Dự án'!D10</f>
        <v>16000</v>
      </c>
      <c r="H21" s="29">
        <f t="shared" ref="H21:J26" si="10">$C21</f>
        <v>14500</v>
      </c>
      <c r="I21" s="29">
        <f t="shared" si="10"/>
        <v>14500</v>
      </c>
      <c r="J21" s="29">
        <f t="shared" si="10"/>
        <v>14500</v>
      </c>
      <c r="K21" s="34">
        <v>13000</v>
      </c>
      <c r="L21" s="29">
        <f>$C21</f>
        <v>14500</v>
      </c>
      <c r="M21" s="29">
        <f>$C21</f>
        <v>14500</v>
      </c>
      <c r="N21" s="29">
        <f>$C21</f>
        <v>14500</v>
      </c>
      <c r="O21" s="29">
        <f t="shared" si="9"/>
        <v>14500</v>
      </c>
      <c r="P21" s="29">
        <f t="shared" si="2"/>
        <v>14500</v>
      </c>
      <c r="Q21" s="29">
        <f t="shared" si="2"/>
        <v>14500</v>
      </c>
      <c r="R21" s="29">
        <f t="shared" si="5"/>
        <v>14500</v>
      </c>
      <c r="S21" s="29">
        <f t="shared" si="7"/>
        <v>14500</v>
      </c>
      <c r="T21" s="29">
        <f t="shared" si="7"/>
        <v>14500</v>
      </c>
      <c r="U21" s="29">
        <f t="shared" si="6"/>
        <v>14500</v>
      </c>
      <c r="V21" s="29">
        <f t="shared" si="3"/>
        <v>14500</v>
      </c>
      <c r="W21" s="29">
        <f t="shared" si="3"/>
        <v>14500</v>
      </c>
    </row>
    <row r="22" spans="1:23" x14ac:dyDescent="0.3">
      <c r="A22" s="14" t="s">
        <v>440</v>
      </c>
      <c r="B22" s="15">
        <f>'06_Dự án'!B11</f>
        <v>11500</v>
      </c>
      <c r="C22" s="15">
        <f>'06_Dự án'!C11</f>
        <v>10500</v>
      </c>
      <c r="D22" s="15">
        <f>'06_Dự án'!D11</f>
        <v>9500</v>
      </c>
      <c r="H22" s="29">
        <f t="shared" si="10"/>
        <v>10500</v>
      </c>
      <c r="I22" s="29">
        <f t="shared" si="10"/>
        <v>10500</v>
      </c>
      <c r="J22" s="29">
        <f t="shared" si="10"/>
        <v>10500</v>
      </c>
      <c r="K22" s="29">
        <f t="shared" ref="K22:K43" si="11">$C22</f>
        <v>10500</v>
      </c>
      <c r="L22" s="34">
        <v>11500</v>
      </c>
      <c r="M22" s="29">
        <f t="shared" ref="M22:N31" si="12">$C22</f>
        <v>10500</v>
      </c>
      <c r="N22" s="29">
        <f t="shared" si="12"/>
        <v>10500</v>
      </c>
      <c r="O22" s="29">
        <f t="shared" si="9"/>
        <v>10500</v>
      </c>
      <c r="P22" s="29">
        <f t="shared" si="2"/>
        <v>10500</v>
      </c>
      <c r="Q22" s="29">
        <f t="shared" si="2"/>
        <v>10500</v>
      </c>
      <c r="R22" s="29">
        <f t="shared" si="5"/>
        <v>10500</v>
      </c>
      <c r="S22" s="29">
        <f t="shared" si="7"/>
        <v>10500</v>
      </c>
      <c r="T22" s="29">
        <f t="shared" si="7"/>
        <v>10500</v>
      </c>
      <c r="U22" s="29">
        <f t="shared" si="6"/>
        <v>10500</v>
      </c>
      <c r="V22" s="29">
        <f t="shared" si="3"/>
        <v>10500</v>
      </c>
      <c r="W22" s="29">
        <f t="shared" si="3"/>
        <v>10500</v>
      </c>
    </row>
    <row r="23" spans="1:23" x14ac:dyDescent="0.3">
      <c r="A23" s="14" t="s">
        <v>441</v>
      </c>
      <c r="B23" s="16">
        <f>'06_Dự án'!B12</f>
        <v>0.05</v>
      </c>
      <c r="C23" s="16">
        <f>'06_Dự án'!C12</f>
        <v>0.05</v>
      </c>
      <c r="D23" s="16">
        <f>'06_Dự án'!D12</f>
        <v>0.05</v>
      </c>
      <c r="H23" s="60">
        <f t="shared" si="10"/>
        <v>0.05</v>
      </c>
      <c r="I23" s="60">
        <f t="shared" si="10"/>
        <v>0.05</v>
      </c>
      <c r="J23" s="60">
        <f t="shared" si="10"/>
        <v>0.05</v>
      </c>
      <c r="K23" s="60">
        <f t="shared" si="11"/>
        <v>0.05</v>
      </c>
      <c r="L23" s="60">
        <f t="shared" ref="L23:L43" si="13">$C23</f>
        <v>0.05</v>
      </c>
      <c r="M23" s="60">
        <f t="shared" si="12"/>
        <v>0.05</v>
      </c>
      <c r="N23" s="60">
        <f t="shared" si="12"/>
        <v>0.05</v>
      </c>
      <c r="O23" s="60">
        <f t="shared" si="9"/>
        <v>0.05</v>
      </c>
      <c r="P23" s="60">
        <f t="shared" si="2"/>
        <v>0.05</v>
      </c>
      <c r="Q23" s="60">
        <f t="shared" si="2"/>
        <v>0.05</v>
      </c>
      <c r="R23" s="60">
        <f t="shared" si="5"/>
        <v>0.05</v>
      </c>
      <c r="S23" s="60">
        <f t="shared" si="7"/>
        <v>0.05</v>
      </c>
      <c r="T23" s="60">
        <f t="shared" si="7"/>
        <v>0.05</v>
      </c>
      <c r="U23" s="60">
        <f t="shared" si="6"/>
        <v>0.05</v>
      </c>
      <c r="V23" s="60">
        <f t="shared" si="3"/>
        <v>0.05</v>
      </c>
      <c r="W23" s="60">
        <f t="shared" si="3"/>
        <v>0.05</v>
      </c>
    </row>
    <row r="24" spans="1:23" x14ac:dyDescent="0.3">
      <c r="A24" s="14" t="s">
        <v>442</v>
      </c>
      <c r="B24" s="27">
        <f>'06_Dự án'!B13</f>
        <v>15</v>
      </c>
      <c r="C24" s="27">
        <f>'06_Dự án'!C13</f>
        <v>15</v>
      </c>
      <c r="D24" s="27">
        <f>'06_Dự án'!D13</f>
        <v>15</v>
      </c>
      <c r="H24" s="43">
        <f t="shared" si="10"/>
        <v>15</v>
      </c>
      <c r="I24" s="43">
        <f t="shared" si="10"/>
        <v>15</v>
      </c>
      <c r="J24" s="43">
        <f t="shared" si="10"/>
        <v>15</v>
      </c>
      <c r="K24" s="43">
        <f t="shared" si="11"/>
        <v>15</v>
      </c>
      <c r="L24" s="43">
        <f t="shared" si="13"/>
        <v>15</v>
      </c>
      <c r="M24" s="43">
        <f t="shared" si="12"/>
        <v>15</v>
      </c>
      <c r="N24" s="43">
        <f t="shared" si="12"/>
        <v>15</v>
      </c>
      <c r="O24" s="43">
        <f t="shared" si="9"/>
        <v>15</v>
      </c>
      <c r="P24" s="43">
        <f t="shared" si="2"/>
        <v>15</v>
      </c>
      <c r="Q24" s="43">
        <f t="shared" si="2"/>
        <v>15</v>
      </c>
      <c r="R24" s="43">
        <f t="shared" si="5"/>
        <v>15</v>
      </c>
      <c r="S24" s="43">
        <f t="shared" si="7"/>
        <v>15</v>
      </c>
      <c r="T24" s="43">
        <f t="shared" si="7"/>
        <v>15</v>
      </c>
      <c r="U24" s="43">
        <f t="shared" si="6"/>
        <v>15</v>
      </c>
      <c r="V24" s="43">
        <f t="shared" si="3"/>
        <v>15</v>
      </c>
      <c r="W24" s="43">
        <f t="shared" si="3"/>
        <v>15</v>
      </c>
    </row>
    <row r="25" spans="1:23" x14ac:dyDescent="0.3">
      <c r="A25" s="14" t="s">
        <v>443</v>
      </c>
      <c r="B25" s="61">
        <f>'06_Dự án'!B14</f>
        <v>20</v>
      </c>
      <c r="C25" s="61">
        <f>'06_Dự án'!C14</f>
        <v>20</v>
      </c>
      <c r="D25" s="61">
        <f>'06_Dự án'!D14</f>
        <v>20</v>
      </c>
      <c r="H25" s="62">
        <f t="shared" si="10"/>
        <v>20</v>
      </c>
      <c r="I25" s="62">
        <f t="shared" si="10"/>
        <v>20</v>
      </c>
      <c r="J25" s="62">
        <f t="shared" si="10"/>
        <v>20</v>
      </c>
      <c r="K25" s="62">
        <f t="shared" si="11"/>
        <v>20</v>
      </c>
      <c r="L25" s="62">
        <f t="shared" si="13"/>
        <v>20</v>
      </c>
      <c r="M25" s="62">
        <f t="shared" si="12"/>
        <v>20</v>
      </c>
      <c r="N25" s="62">
        <f t="shared" si="12"/>
        <v>20</v>
      </c>
      <c r="O25" s="62">
        <f t="shared" si="9"/>
        <v>20</v>
      </c>
      <c r="P25" s="62">
        <f t="shared" si="2"/>
        <v>20</v>
      </c>
      <c r="Q25" s="62">
        <f t="shared" si="2"/>
        <v>20</v>
      </c>
      <c r="R25" s="62">
        <f t="shared" si="5"/>
        <v>20</v>
      </c>
      <c r="S25" s="62">
        <f t="shared" si="7"/>
        <v>20</v>
      </c>
      <c r="T25" s="62">
        <f t="shared" si="7"/>
        <v>20</v>
      </c>
      <c r="U25" s="62">
        <f t="shared" si="6"/>
        <v>20</v>
      </c>
      <c r="V25" s="62">
        <f t="shared" si="3"/>
        <v>20</v>
      </c>
      <c r="W25" s="62">
        <f t="shared" si="3"/>
        <v>20</v>
      </c>
    </row>
    <row r="26" spans="1:23" x14ac:dyDescent="0.3">
      <c r="A26" s="14" t="s">
        <v>444</v>
      </c>
      <c r="B26" s="27">
        <f>'06_Dự án'!B15</f>
        <v>0</v>
      </c>
      <c r="C26" s="27">
        <f>'06_Dự án'!C15</f>
        <v>10</v>
      </c>
      <c r="D26" s="27">
        <f>'06_Dự án'!D15</f>
        <v>25</v>
      </c>
      <c r="H26" s="43">
        <f t="shared" si="10"/>
        <v>10</v>
      </c>
      <c r="I26" s="43">
        <f t="shared" si="10"/>
        <v>10</v>
      </c>
      <c r="J26" s="43">
        <f t="shared" si="10"/>
        <v>10</v>
      </c>
      <c r="K26" s="43">
        <f t="shared" si="11"/>
        <v>10</v>
      </c>
      <c r="L26" s="43">
        <f t="shared" si="13"/>
        <v>10</v>
      </c>
      <c r="M26" s="43">
        <f t="shared" si="12"/>
        <v>10</v>
      </c>
      <c r="N26" s="43">
        <f t="shared" si="12"/>
        <v>10</v>
      </c>
      <c r="O26" s="43">
        <f t="shared" si="9"/>
        <v>10</v>
      </c>
      <c r="P26" s="43">
        <f t="shared" si="2"/>
        <v>10</v>
      </c>
      <c r="Q26" s="43">
        <f t="shared" si="2"/>
        <v>10</v>
      </c>
      <c r="R26" s="43">
        <f t="shared" si="5"/>
        <v>10</v>
      </c>
      <c r="S26" s="43">
        <f t="shared" si="7"/>
        <v>10</v>
      </c>
      <c r="T26" s="43">
        <f t="shared" si="7"/>
        <v>10</v>
      </c>
      <c r="U26" s="43">
        <f t="shared" si="6"/>
        <v>10</v>
      </c>
      <c r="V26" s="43">
        <f t="shared" si="3"/>
        <v>10</v>
      </c>
      <c r="W26" s="43">
        <f t="shared" si="3"/>
        <v>10</v>
      </c>
    </row>
    <row r="27" spans="1:23" x14ac:dyDescent="0.3">
      <c r="A27" s="14" t="s">
        <v>445</v>
      </c>
      <c r="B27" s="61">
        <f>'06_Dự án'!B19</f>
        <v>0</v>
      </c>
      <c r="C27" s="61">
        <f>'06_Dự án'!C19</f>
        <v>1</v>
      </c>
      <c r="D27" s="61">
        <f>'06_Dự án'!D19</f>
        <v>1</v>
      </c>
      <c r="H27" s="62">
        <f t="shared" ref="H27:H43" si="14">$C27</f>
        <v>1</v>
      </c>
      <c r="I27" s="63">
        <v>0</v>
      </c>
      <c r="J27" s="62">
        <f>$C27</f>
        <v>1</v>
      </c>
      <c r="K27" s="62">
        <f t="shared" si="11"/>
        <v>1</v>
      </c>
      <c r="L27" s="62">
        <f t="shared" si="13"/>
        <v>1</v>
      </c>
      <c r="M27" s="62">
        <f t="shared" si="12"/>
        <v>1</v>
      </c>
      <c r="N27" s="62">
        <f t="shared" si="12"/>
        <v>1</v>
      </c>
      <c r="O27" s="62">
        <f t="shared" si="9"/>
        <v>1</v>
      </c>
      <c r="P27" s="62">
        <f t="shared" ref="P27:Q43" si="15">$C27</f>
        <v>1</v>
      </c>
      <c r="Q27" s="62">
        <f t="shared" si="15"/>
        <v>1</v>
      </c>
      <c r="R27" s="62">
        <f t="shared" si="5"/>
        <v>1</v>
      </c>
      <c r="S27" s="62">
        <f t="shared" si="7"/>
        <v>1</v>
      </c>
      <c r="T27" s="62">
        <f t="shared" si="7"/>
        <v>1</v>
      </c>
      <c r="U27" s="62">
        <f t="shared" si="6"/>
        <v>1</v>
      </c>
      <c r="V27" s="62">
        <f t="shared" si="3"/>
        <v>1</v>
      </c>
      <c r="W27" s="62">
        <f t="shared" si="3"/>
        <v>1</v>
      </c>
    </row>
    <row r="28" spans="1:23" x14ac:dyDescent="0.3">
      <c r="A28" s="14" t="s">
        <v>446</v>
      </c>
      <c r="B28" s="27">
        <f>'06_Dự án'!B20</f>
        <v>850</v>
      </c>
      <c r="C28" s="27">
        <f>'06_Dự án'!C20</f>
        <v>743</v>
      </c>
      <c r="D28" s="27">
        <f>'06_Dự án'!D20</f>
        <v>743</v>
      </c>
      <c r="H28" s="43">
        <f t="shared" si="14"/>
        <v>743</v>
      </c>
      <c r="I28" s="43">
        <f t="shared" ref="I28:I43" si="16">$C28</f>
        <v>743</v>
      </c>
      <c r="J28" s="43">
        <f>$C28</f>
        <v>743</v>
      </c>
      <c r="K28" s="43">
        <f t="shared" si="11"/>
        <v>743</v>
      </c>
      <c r="L28" s="43">
        <f t="shared" si="13"/>
        <v>743</v>
      </c>
      <c r="M28" s="43">
        <f t="shared" si="12"/>
        <v>743</v>
      </c>
      <c r="N28" s="43">
        <f t="shared" si="12"/>
        <v>743</v>
      </c>
      <c r="O28" s="43">
        <f t="shared" si="9"/>
        <v>743</v>
      </c>
      <c r="P28" s="43">
        <f t="shared" si="15"/>
        <v>743</v>
      </c>
      <c r="Q28" s="43">
        <f t="shared" si="15"/>
        <v>743</v>
      </c>
      <c r="R28" s="43">
        <f t="shared" si="5"/>
        <v>743</v>
      </c>
      <c r="S28" s="43">
        <f t="shared" si="7"/>
        <v>743</v>
      </c>
      <c r="T28" s="43">
        <f t="shared" si="7"/>
        <v>743</v>
      </c>
      <c r="U28" s="43">
        <f t="shared" si="6"/>
        <v>743</v>
      </c>
      <c r="V28" s="43">
        <f t="shared" si="3"/>
        <v>743</v>
      </c>
      <c r="W28" s="43">
        <f t="shared" si="3"/>
        <v>743</v>
      </c>
    </row>
    <row r="29" spans="1:23" x14ac:dyDescent="0.3">
      <c r="A29" s="14" t="s">
        <v>447</v>
      </c>
      <c r="B29" s="61">
        <f>'06_Dự án'!B21</f>
        <v>2031</v>
      </c>
      <c r="C29" s="61">
        <f>'06_Dự án'!C21</f>
        <v>2030</v>
      </c>
      <c r="D29" s="61">
        <f>'06_Dự án'!D21</f>
        <v>2028</v>
      </c>
      <c r="H29" s="62">
        <f t="shared" si="14"/>
        <v>2030</v>
      </c>
      <c r="I29" s="62">
        <f t="shared" si="16"/>
        <v>2030</v>
      </c>
      <c r="J29" s="63">
        <v>2028</v>
      </c>
      <c r="K29" s="62">
        <f t="shared" si="11"/>
        <v>2030</v>
      </c>
      <c r="L29" s="62">
        <f t="shared" si="13"/>
        <v>2030</v>
      </c>
      <c r="M29" s="62">
        <f t="shared" si="12"/>
        <v>2030</v>
      </c>
      <c r="N29" s="62">
        <f t="shared" si="12"/>
        <v>2030</v>
      </c>
      <c r="O29" s="62">
        <f t="shared" si="9"/>
        <v>2030</v>
      </c>
      <c r="P29" s="62">
        <f t="shared" si="15"/>
        <v>2030</v>
      </c>
      <c r="Q29" s="62">
        <f t="shared" si="15"/>
        <v>2030</v>
      </c>
      <c r="R29" s="62">
        <f t="shared" si="5"/>
        <v>2030</v>
      </c>
      <c r="S29" s="62">
        <f t="shared" si="7"/>
        <v>2030</v>
      </c>
      <c r="T29" s="62">
        <f t="shared" si="7"/>
        <v>2030</v>
      </c>
      <c r="U29" s="62">
        <f t="shared" si="6"/>
        <v>2030</v>
      </c>
      <c r="V29" s="62">
        <f t="shared" si="3"/>
        <v>2030</v>
      </c>
      <c r="W29" s="62">
        <f t="shared" si="3"/>
        <v>2030</v>
      </c>
    </row>
    <row r="30" spans="1:23" x14ac:dyDescent="0.3">
      <c r="A30" s="14" t="s">
        <v>448</v>
      </c>
      <c r="B30" s="27">
        <f>'06_Dự án'!B22</f>
        <v>20</v>
      </c>
      <c r="C30" s="27">
        <f>'06_Dự án'!C22</f>
        <v>45</v>
      </c>
      <c r="D30" s="27">
        <f>'06_Dự án'!D22</f>
        <v>75</v>
      </c>
      <c r="H30" s="43">
        <f t="shared" si="14"/>
        <v>45</v>
      </c>
      <c r="I30" s="43">
        <f t="shared" si="16"/>
        <v>45</v>
      </c>
      <c r="J30" s="43">
        <f t="shared" ref="J30:J43" si="17">$C30</f>
        <v>45</v>
      </c>
      <c r="K30" s="43">
        <f t="shared" si="11"/>
        <v>45</v>
      </c>
      <c r="L30" s="43">
        <f t="shared" si="13"/>
        <v>45</v>
      </c>
      <c r="M30" s="43">
        <f t="shared" si="12"/>
        <v>45</v>
      </c>
      <c r="N30" s="43">
        <f t="shared" si="12"/>
        <v>45</v>
      </c>
      <c r="O30" s="43">
        <f t="shared" si="9"/>
        <v>45</v>
      </c>
      <c r="P30" s="43">
        <f t="shared" si="15"/>
        <v>45</v>
      </c>
      <c r="Q30" s="43">
        <f t="shared" si="15"/>
        <v>45</v>
      </c>
      <c r="R30" s="43">
        <f t="shared" si="5"/>
        <v>45</v>
      </c>
      <c r="S30" s="43">
        <f t="shared" si="7"/>
        <v>45</v>
      </c>
      <c r="T30" s="43">
        <f t="shared" si="7"/>
        <v>45</v>
      </c>
      <c r="U30" s="43">
        <f t="shared" si="6"/>
        <v>45</v>
      </c>
      <c r="V30" s="43">
        <f t="shared" si="3"/>
        <v>45</v>
      </c>
      <c r="W30" s="43">
        <f t="shared" si="3"/>
        <v>45</v>
      </c>
    </row>
    <row r="31" spans="1:23" x14ac:dyDescent="0.3">
      <c r="A31" s="14" t="s">
        <v>449</v>
      </c>
      <c r="B31" s="19">
        <f>'02_Giả định'!$B$6</f>
        <v>4.5999999999999999E-2</v>
      </c>
      <c r="C31" s="19">
        <f>'02_Giả định'!$B$6</f>
        <v>4.5999999999999999E-2</v>
      </c>
      <c r="D31" s="19">
        <f>'02_Giả định'!$B$6</f>
        <v>4.5999999999999999E-2</v>
      </c>
      <c r="H31" s="57">
        <f t="shared" si="14"/>
        <v>4.5999999999999999E-2</v>
      </c>
      <c r="I31" s="57">
        <f t="shared" si="16"/>
        <v>4.5999999999999999E-2</v>
      </c>
      <c r="J31" s="57">
        <f t="shared" si="17"/>
        <v>4.5999999999999999E-2</v>
      </c>
      <c r="K31" s="57">
        <f t="shared" si="11"/>
        <v>4.5999999999999999E-2</v>
      </c>
      <c r="L31" s="57">
        <f t="shared" si="13"/>
        <v>4.5999999999999999E-2</v>
      </c>
      <c r="M31" s="57">
        <f t="shared" si="12"/>
        <v>4.5999999999999999E-2</v>
      </c>
      <c r="N31" s="57">
        <f t="shared" si="12"/>
        <v>4.5999999999999999E-2</v>
      </c>
      <c r="O31" s="57">
        <f t="shared" si="9"/>
        <v>4.5999999999999999E-2</v>
      </c>
      <c r="P31" s="57">
        <f t="shared" si="15"/>
        <v>4.5999999999999999E-2</v>
      </c>
      <c r="Q31" s="57">
        <f t="shared" si="15"/>
        <v>4.5999999999999999E-2</v>
      </c>
      <c r="R31" s="57">
        <f t="shared" si="5"/>
        <v>4.5999999999999999E-2</v>
      </c>
      <c r="S31" s="57">
        <f t="shared" si="7"/>
        <v>4.5999999999999999E-2</v>
      </c>
      <c r="T31" s="57">
        <f t="shared" si="7"/>
        <v>4.5999999999999999E-2</v>
      </c>
      <c r="U31" s="57">
        <f t="shared" si="6"/>
        <v>4.5999999999999999E-2</v>
      </c>
      <c r="V31" s="57">
        <f t="shared" si="3"/>
        <v>4.5999999999999999E-2</v>
      </c>
      <c r="W31" s="57">
        <f t="shared" si="3"/>
        <v>4.5999999999999999E-2</v>
      </c>
    </row>
    <row r="32" spans="1:23" x14ac:dyDescent="0.3">
      <c r="A32" s="14" t="s">
        <v>450</v>
      </c>
      <c r="B32" s="19">
        <f>'02_Giả định'!$B$7</f>
        <v>9.1999999999999998E-2</v>
      </c>
      <c r="C32" s="19">
        <f>'02_Giả định'!$B$7</f>
        <v>9.1999999999999998E-2</v>
      </c>
      <c r="D32" s="19">
        <f>'02_Giả định'!$B$7</f>
        <v>9.1999999999999998E-2</v>
      </c>
      <c r="H32" s="57">
        <f t="shared" si="14"/>
        <v>9.1999999999999998E-2</v>
      </c>
      <c r="I32" s="57">
        <f t="shared" si="16"/>
        <v>9.1999999999999998E-2</v>
      </c>
      <c r="J32" s="57">
        <f t="shared" si="17"/>
        <v>9.1999999999999998E-2</v>
      </c>
      <c r="K32" s="57">
        <f t="shared" si="11"/>
        <v>9.1999999999999998E-2</v>
      </c>
      <c r="L32" s="57">
        <f t="shared" si="13"/>
        <v>9.1999999999999998E-2</v>
      </c>
      <c r="M32" s="45">
        <v>0.1</v>
      </c>
      <c r="N32" s="57">
        <f>$C32</f>
        <v>9.1999999999999998E-2</v>
      </c>
      <c r="O32" s="57">
        <f t="shared" si="9"/>
        <v>9.1999999999999998E-2</v>
      </c>
      <c r="P32" s="57">
        <f t="shared" si="15"/>
        <v>9.1999999999999998E-2</v>
      </c>
      <c r="Q32" s="57">
        <f t="shared" si="15"/>
        <v>9.1999999999999998E-2</v>
      </c>
      <c r="R32" s="57">
        <f t="shared" si="5"/>
        <v>9.1999999999999998E-2</v>
      </c>
      <c r="S32" s="57">
        <f t="shared" si="7"/>
        <v>9.1999999999999998E-2</v>
      </c>
      <c r="T32" s="57">
        <f t="shared" si="7"/>
        <v>9.1999999999999998E-2</v>
      </c>
      <c r="U32" s="57">
        <f t="shared" si="6"/>
        <v>9.1999999999999998E-2</v>
      </c>
      <c r="V32" s="57">
        <f t="shared" si="3"/>
        <v>9.1999999999999998E-2</v>
      </c>
      <c r="W32" s="57">
        <f t="shared" si="3"/>
        <v>9.1999999999999998E-2</v>
      </c>
    </row>
    <row r="33" spans="1:23" x14ac:dyDescent="0.3">
      <c r="A33" s="14" t="s">
        <v>451</v>
      </c>
      <c r="B33" s="64">
        <f>'02_Giả định'!$B$8</f>
        <v>0.72</v>
      </c>
      <c r="C33" s="64">
        <f>'02_Giả định'!$B$8</f>
        <v>0.72</v>
      </c>
      <c r="D33" s="64">
        <f>'02_Giả định'!$B$8</f>
        <v>0.72</v>
      </c>
      <c r="H33" s="65">
        <f t="shared" si="14"/>
        <v>0.72</v>
      </c>
      <c r="I33" s="65">
        <f t="shared" si="16"/>
        <v>0.72</v>
      </c>
      <c r="J33" s="65">
        <f t="shared" si="17"/>
        <v>0.72</v>
      </c>
      <c r="K33" s="65">
        <f t="shared" si="11"/>
        <v>0.72</v>
      </c>
      <c r="L33" s="65">
        <f t="shared" si="13"/>
        <v>0.72</v>
      </c>
      <c r="M33" s="65">
        <f t="shared" ref="M33:M43" si="18">$C33</f>
        <v>0.72</v>
      </c>
      <c r="N33" s="47">
        <v>0.85</v>
      </c>
      <c r="O33" s="65">
        <f t="shared" si="9"/>
        <v>0.72</v>
      </c>
      <c r="P33" s="65">
        <f t="shared" si="15"/>
        <v>0.72</v>
      </c>
      <c r="Q33" s="65">
        <f t="shared" si="15"/>
        <v>0.72</v>
      </c>
      <c r="R33" s="65">
        <f t="shared" si="5"/>
        <v>0.72</v>
      </c>
      <c r="S33" s="65">
        <f t="shared" si="7"/>
        <v>0.72</v>
      </c>
      <c r="T33" s="65">
        <f t="shared" si="7"/>
        <v>0.72</v>
      </c>
      <c r="U33" s="65">
        <f t="shared" si="6"/>
        <v>0.72</v>
      </c>
      <c r="V33" s="47">
        <v>0.65</v>
      </c>
      <c r="W33" s="65">
        <f t="shared" si="6"/>
        <v>0.72</v>
      </c>
    </row>
    <row r="34" spans="1:23" x14ac:dyDescent="0.3">
      <c r="A34" s="14" t="s">
        <v>452</v>
      </c>
      <c r="B34" s="64">
        <f>'02_Giả định'!$B$9</f>
        <v>0.85</v>
      </c>
      <c r="C34" s="64">
        <f>'02_Giả định'!$B$9</f>
        <v>0.85</v>
      </c>
      <c r="D34" s="64">
        <f>'02_Giả định'!$B$9</f>
        <v>0.85</v>
      </c>
      <c r="H34" s="65">
        <f t="shared" si="14"/>
        <v>0.85</v>
      </c>
      <c r="I34" s="65">
        <f t="shared" si="16"/>
        <v>0.85</v>
      </c>
      <c r="J34" s="65">
        <f t="shared" si="17"/>
        <v>0.85</v>
      </c>
      <c r="K34" s="65">
        <f t="shared" si="11"/>
        <v>0.85</v>
      </c>
      <c r="L34" s="65">
        <f t="shared" si="13"/>
        <v>0.85</v>
      </c>
      <c r="M34" s="65">
        <f t="shared" si="18"/>
        <v>0.85</v>
      </c>
      <c r="N34" s="65">
        <f t="shared" ref="N34:N43" si="19">$C34</f>
        <v>0.85</v>
      </c>
      <c r="O34" s="65">
        <f t="shared" si="9"/>
        <v>0.85</v>
      </c>
      <c r="P34" s="65">
        <f t="shared" si="15"/>
        <v>0.85</v>
      </c>
      <c r="Q34" s="65">
        <f t="shared" si="15"/>
        <v>0.85</v>
      </c>
      <c r="R34" s="65">
        <f t="shared" si="5"/>
        <v>0.85</v>
      </c>
      <c r="S34" s="65">
        <f t="shared" si="7"/>
        <v>0.85</v>
      </c>
      <c r="T34" s="65">
        <f t="shared" si="7"/>
        <v>0.85</v>
      </c>
      <c r="U34" s="65">
        <f t="shared" si="6"/>
        <v>0.85</v>
      </c>
      <c r="V34" s="65">
        <f t="shared" ref="V34:W43" si="20">$C34</f>
        <v>0.85</v>
      </c>
      <c r="W34" s="65">
        <f t="shared" si="20"/>
        <v>0.85</v>
      </c>
    </row>
    <row r="35" spans="1:23" x14ac:dyDescent="0.3">
      <c r="A35" s="14" t="s">
        <v>453</v>
      </c>
      <c r="B35" s="19">
        <f>'02_Giả định'!$B$12</f>
        <v>0.03</v>
      </c>
      <c r="C35" s="19">
        <f>'02_Giả định'!$B$12</f>
        <v>0.03</v>
      </c>
      <c r="D35" s="19">
        <f>'02_Giả định'!$B$12</f>
        <v>0.03</v>
      </c>
      <c r="H35" s="57">
        <f t="shared" si="14"/>
        <v>0.03</v>
      </c>
      <c r="I35" s="57">
        <f t="shared" si="16"/>
        <v>0.03</v>
      </c>
      <c r="J35" s="57">
        <f t="shared" si="17"/>
        <v>0.03</v>
      </c>
      <c r="K35" s="57">
        <f t="shared" si="11"/>
        <v>0.03</v>
      </c>
      <c r="L35" s="57">
        <f t="shared" si="13"/>
        <v>0.03</v>
      </c>
      <c r="M35" s="57">
        <f t="shared" si="18"/>
        <v>0.03</v>
      </c>
      <c r="N35" s="57">
        <f t="shared" si="19"/>
        <v>0.03</v>
      </c>
      <c r="O35" s="57">
        <f t="shared" si="9"/>
        <v>0.03</v>
      </c>
      <c r="P35" s="57">
        <f t="shared" si="15"/>
        <v>0.03</v>
      </c>
      <c r="Q35" s="57">
        <f t="shared" si="15"/>
        <v>0.03</v>
      </c>
      <c r="R35" s="57">
        <f t="shared" si="5"/>
        <v>0.03</v>
      </c>
      <c r="S35" s="57">
        <f t="shared" si="7"/>
        <v>0.03</v>
      </c>
      <c r="T35" s="57">
        <f t="shared" si="7"/>
        <v>0.03</v>
      </c>
      <c r="U35" s="57">
        <f t="shared" si="6"/>
        <v>0.03</v>
      </c>
      <c r="V35" s="57">
        <f t="shared" si="20"/>
        <v>0.03</v>
      </c>
      <c r="W35" s="57">
        <f t="shared" si="20"/>
        <v>0.03</v>
      </c>
    </row>
    <row r="36" spans="1:23" x14ac:dyDescent="0.3">
      <c r="A36" s="14" t="s">
        <v>454</v>
      </c>
      <c r="B36" s="16">
        <f>'02_Giả định'!$B$13</f>
        <v>0.1</v>
      </c>
      <c r="C36" s="16">
        <f>'02_Giả định'!$B$13</f>
        <v>0.1</v>
      </c>
      <c r="D36" s="16">
        <f>'02_Giả định'!$B$13</f>
        <v>0.1</v>
      </c>
      <c r="H36" s="60">
        <f t="shared" si="14"/>
        <v>0.1</v>
      </c>
      <c r="I36" s="60">
        <f t="shared" si="16"/>
        <v>0.1</v>
      </c>
      <c r="J36" s="60">
        <f t="shared" si="17"/>
        <v>0.1</v>
      </c>
      <c r="K36" s="60">
        <f t="shared" si="11"/>
        <v>0.1</v>
      </c>
      <c r="L36" s="60">
        <f t="shared" si="13"/>
        <v>0.1</v>
      </c>
      <c r="M36" s="60">
        <f t="shared" si="18"/>
        <v>0.1</v>
      </c>
      <c r="N36" s="60">
        <f t="shared" si="19"/>
        <v>0.1</v>
      </c>
      <c r="O36" s="60">
        <f t="shared" si="9"/>
        <v>0.1</v>
      </c>
      <c r="P36" s="60">
        <f t="shared" si="15"/>
        <v>0.1</v>
      </c>
      <c r="Q36" s="60">
        <f t="shared" si="15"/>
        <v>0.1</v>
      </c>
      <c r="R36" s="60">
        <f t="shared" si="5"/>
        <v>0.1</v>
      </c>
      <c r="S36" s="60">
        <f t="shared" si="7"/>
        <v>0.1</v>
      </c>
      <c r="T36" s="60">
        <f t="shared" si="7"/>
        <v>0.1</v>
      </c>
      <c r="U36" s="60">
        <f t="shared" si="6"/>
        <v>0.1</v>
      </c>
      <c r="V36" s="60">
        <f t="shared" si="20"/>
        <v>0.1</v>
      </c>
      <c r="W36" s="60">
        <f t="shared" si="20"/>
        <v>0.1</v>
      </c>
    </row>
    <row r="37" spans="1:23" x14ac:dyDescent="0.3">
      <c r="A37" s="14" t="s">
        <v>322</v>
      </c>
      <c r="B37" s="16">
        <f>'02_Giả định'!$B$14</f>
        <v>0.2</v>
      </c>
      <c r="C37" s="16">
        <f>'02_Giả định'!$B$14</f>
        <v>0.2</v>
      </c>
      <c r="D37" s="16">
        <f>'02_Giả định'!$B$14</f>
        <v>0.2</v>
      </c>
      <c r="H37" s="60">
        <f t="shared" si="14"/>
        <v>0.2</v>
      </c>
      <c r="I37" s="60">
        <f t="shared" si="16"/>
        <v>0.2</v>
      </c>
      <c r="J37" s="60">
        <f t="shared" si="17"/>
        <v>0.2</v>
      </c>
      <c r="K37" s="60">
        <f t="shared" si="11"/>
        <v>0.2</v>
      </c>
      <c r="L37" s="60">
        <f t="shared" si="13"/>
        <v>0.2</v>
      </c>
      <c r="M37" s="60">
        <f t="shared" si="18"/>
        <v>0.2</v>
      </c>
      <c r="N37" s="60">
        <f t="shared" si="19"/>
        <v>0.2</v>
      </c>
      <c r="O37" s="60">
        <f t="shared" si="9"/>
        <v>0.2</v>
      </c>
      <c r="P37" s="60">
        <f t="shared" si="15"/>
        <v>0.2</v>
      </c>
      <c r="Q37" s="60">
        <f t="shared" si="15"/>
        <v>0.2</v>
      </c>
      <c r="R37" s="60">
        <f t="shared" si="5"/>
        <v>0.2</v>
      </c>
      <c r="S37" s="60">
        <f t="shared" si="7"/>
        <v>0.2</v>
      </c>
      <c r="T37" s="60">
        <f t="shared" si="7"/>
        <v>0.2</v>
      </c>
      <c r="U37" s="60">
        <f t="shared" si="6"/>
        <v>0.2</v>
      </c>
      <c r="V37" s="60">
        <f t="shared" si="20"/>
        <v>0.2</v>
      </c>
      <c r="W37" s="60">
        <f t="shared" si="20"/>
        <v>0.2</v>
      </c>
    </row>
    <row r="38" spans="1:23" x14ac:dyDescent="0.3">
      <c r="A38" s="14" t="s">
        <v>455</v>
      </c>
      <c r="B38" s="19">
        <f>'02_Giả định'!$B$15</f>
        <v>7.4999999999999997E-2</v>
      </c>
      <c r="C38" s="19">
        <f>'02_Giả định'!$B$15</f>
        <v>7.4999999999999997E-2</v>
      </c>
      <c r="D38" s="19">
        <f>'02_Giả định'!$B$15</f>
        <v>7.4999999999999997E-2</v>
      </c>
      <c r="H38" s="57">
        <f t="shared" si="14"/>
        <v>7.4999999999999997E-2</v>
      </c>
      <c r="I38" s="57">
        <f t="shared" si="16"/>
        <v>7.4999999999999997E-2</v>
      </c>
      <c r="J38" s="57">
        <f t="shared" si="17"/>
        <v>7.4999999999999997E-2</v>
      </c>
      <c r="K38" s="57">
        <f t="shared" si="11"/>
        <v>7.4999999999999997E-2</v>
      </c>
      <c r="L38" s="57">
        <f t="shared" si="13"/>
        <v>7.4999999999999997E-2</v>
      </c>
      <c r="M38" s="57">
        <f t="shared" si="18"/>
        <v>7.4999999999999997E-2</v>
      </c>
      <c r="N38" s="57">
        <f t="shared" si="19"/>
        <v>7.4999999999999997E-2</v>
      </c>
      <c r="O38" s="57">
        <f t="shared" si="9"/>
        <v>7.4999999999999997E-2</v>
      </c>
      <c r="P38" s="57">
        <f t="shared" si="15"/>
        <v>7.4999999999999997E-2</v>
      </c>
      <c r="Q38" s="57">
        <f t="shared" si="15"/>
        <v>7.4999999999999997E-2</v>
      </c>
      <c r="R38" s="57">
        <f t="shared" si="5"/>
        <v>7.4999999999999997E-2</v>
      </c>
      <c r="S38" s="57">
        <f t="shared" si="7"/>
        <v>7.4999999999999997E-2</v>
      </c>
      <c r="T38" s="57">
        <f t="shared" si="7"/>
        <v>7.4999999999999997E-2</v>
      </c>
      <c r="U38" s="57">
        <f t="shared" si="6"/>
        <v>7.4999999999999997E-2</v>
      </c>
      <c r="V38" s="57">
        <f t="shared" si="20"/>
        <v>7.4999999999999997E-2</v>
      </c>
      <c r="W38" s="57">
        <f t="shared" si="20"/>
        <v>7.4999999999999997E-2</v>
      </c>
    </row>
    <row r="39" spans="1:23" x14ac:dyDescent="0.3">
      <c r="A39" s="14" t="s">
        <v>456</v>
      </c>
      <c r="B39" s="15">
        <f>'02_Giả định'!$B$16</f>
        <v>1000</v>
      </c>
      <c r="C39" s="15">
        <f>'02_Giả định'!$B$16</f>
        <v>1000</v>
      </c>
      <c r="D39" s="15">
        <f>'02_Giả định'!$B$16</f>
        <v>1000</v>
      </c>
      <c r="H39" s="29">
        <f t="shared" si="14"/>
        <v>1000</v>
      </c>
      <c r="I39" s="29">
        <f t="shared" si="16"/>
        <v>1000</v>
      </c>
      <c r="J39" s="29">
        <f t="shared" si="17"/>
        <v>1000</v>
      </c>
      <c r="K39" s="29">
        <f t="shared" si="11"/>
        <v>1000</v>
      </c>
      <c r="L39" s="29">
        <f t="shared" si="13"/>
        <v>1000</v>
      </c>
      <c r="M39" s="29">
        <f t="shared" si="18"/>
        <v>1000</v>
      </c>
      <c r="N39" s="29">
        <f t="shared" si="19"/>
        <v>1000</v>
      </c>
      <c r="O39" s="29">
        <f t="shared" si="9"/>
        <v>1000</v>
      </c>
      <c r="P39" s="29">
        <f t="shared" si="15"/>
        <v>1000</v>
      </c>
      <c r="Q39" s="29">
        <f t="shared" si="15"/>
        <v>1000</v>
      </c>
      <c r="R39" s="29">
        <f t="shared" si="5"/>
        <v>1000</v>
      </c>
      <c r="S39" s="29">
        <f t="shared" si="7"/>
        <v>1000</v>
      </c>
      <c r="T39" s="29">
        <f t="shared" si="7"/>
        <v>1000</v>
      </c>
      <c r="U39" s="29">
        <f t="shared" si="6"/>
        <v>1000</v>
      </c>
      <c r="V39" s="29">
        <f t="shared" si="20"/>
        <v>1000</v>
      </c>
      <c r="W39" s="29">
        <f t="shared" si="20"/>
        <v>1000</v>
      </c>
    </row>
    <row r="40" spans="1:23" x14ac:dyDescent="0.3">
      <c r="A40" s="14" t="s">
        <v>457</v>
      </c>
      <c r="B40" s="19">
        <f>'02_Giả định'!$B$38</f>
        <v>0.1</v>
      </c>
      <c r="C40" s="19">
        <f>'02_Giả định'!$B$38</f>
        <v>0.1</v>
      </c>
      <c r="D40" s="19">
        <f>'02_Giả định'!$B$38</f>
        <v>0.1</v>
      </c>
      <c r="H40" s="57">
        <f t="shared" si="14"/>
        <v>0.1</v>
      </c>
      <c r="I40" s="57">
        <f t="shared" si="16"/>
        <v>0.1</v>
      </c>
      <c r="J40" s="57">
        <f t="shared" si="17"/>
        <v>0.1</v>
      </c>
      <c r="K40" s="57">
        <f t="shared" si="11"/>
        <v>0.1</v>
      </c>
      <c r="L40" s="57">
        <f t="shared" si="13"/>
        <v>0.1</v>
      </c>
      <c r="M40" s="57">
        <f t="shared" si="18"/>
        <v>0.1</v>
      </c>
      <c r="N40" s="57">
        <f t="shared" si="19"/>
        <v>0.1</v>
      </c>
      <c r="O40" s="57">
        <f t="shared" si="9"/>
        <v>0.1</v>
      </c>
      <c r="P40" s="57">
        <f t="shared" si="15"/>
        <v>0.1</v>
      </c>
      <c r="Q40" s="57">
        <f t="shared" si="15"/>
        <v>0.1</v>
      </c>
      <c r="R40" s="57">
        <f t="shared" si="5"/>
        <v>0.1</v>
      </c>
      <c r="S40" s="57">
        <f t="shared" si="7"/>
        <v>0.1</v>
      </c>
      <c r="T40" s="57">
        <f t="shared" si="7"/>
        <v>0.1</v>
      </c>
      <c r="U40" s="57">
        <f t="shared" si="6"/>
        <v>0.1</v>
      </c>
      <c r="V40" s="57">
        <f t="shared" si="20"/>
        <v>0.1</v>
      </c>
      <c r="W40" s="45">
        <v>0.05</v>
      </c>
    </row>
    <row r="41" spans="1:23" x14ac:dyDescent="0.3">
      <c r="A41" s="14" t="s">
        <v>458</v>
      </c>
      <c r="B41" s="19">
        <f>'02_Giả định'!$B$39</f>
        <v>0.34746325027295699</v>
      </c>
      <c r="C41" s="19">
        <f>'02_Giả định'!$B$39</f>
        <v>0.34746325027295699</v>
      </c>
      <c r="D41" s="19">
        <f>'02_Giả định'!$B$39</f>
        <v>0.34746325027295699</v>
      </c>
      <c r="H41" s="57">
        <f t="shared" si="14"/>
        <v>0.34746325027295699</v>
      </c>
      <c r="I41" s="57">
        <f t="shared" si="16"/>
        <v>0.34746325027295699</v>
      </c>
      <c r="J41" s="57">
        <f t="shared" si="17"/>
        <v>0.34746325027295699</v>
      </c>
      <c r="K41" s="57">
        <f t="shared" si="11"/>
        <v>0.34746325027295699</v>
      </c>
      <c r="L41" s="57">
        <f t="shared" si="13"/>
        <v>0.34746325027295699</v>
      </c>
      <c r="M41" s="57">
        <f t="shared" si="18"/>
        <v>0.34746325027295699</v>
      </c>
      <c r="N41" s="57">
        <f t="shared" si="19"/>
        <v>0.34746325027295699</v>
      </c>
      <c r="O41" s="57">
        <f t="shared" si="9"/>
        <v>0.34746325027295699</v>
      </c>
      <c r="P41" s="57">
        <f t="shared" si="15"/>
        <v>0.34746325027295699</v>
      </c>
      <c r="Q41" s="57">
        <f t="shared" si="15"/>
        <v>0.34746325027295699</v>
      </c>
      <c r="R41" s="57">
        <f t="shared" si="5"/>
        <v>0.34746325027295699</v>
      </c>
      <c r="S41" s="57">
        <f t="shared" si="7"/>
        <v>0.34746325027295699</v>
      </c>
      <c r="T41" s="57">
        <f t="shared" si="7"/>
        <v>0.34746325027295699</v>
      </c>
      <c r="U41" s="57">
        <f t="shared" si="6"/>
        <v>0.34746325027295699</v>
      </c>
      <c r="V41" s="57">
        <f t="shared" si="20"/>
        <v>0.34746325027295699</v>
      </c>
      <c r="W41" s="57">
        <f>('02_Giả định'!$B$32-W40*'02_Giả định'!$B$29)/'02_Giả định'!$B$31</f>
        <v>0.36131665922403255</v>
      </c>
    </row>
    <row r="42" spans="1:23" x14ac:dyDescent="0.3">
      <c r="A42" s="14" t="s">
        <v>459</v>
      </c>
      <c r="B42" s="27">
        <f>'02_Giả định'!$B$46</f>
        <v>39</v>
      </c>
      <c r="C42" s="27">
        <f>'02_Giả định'!$B$46</f>
        <v>39</v>
      </c>
      <c r="D42" s="27">
        <f>'02_Giả định'!$B$46</f>
        <v>39</v>
      </c>
      <c r="H42" s="43">
        <f t="shared" si="14"/>
        <v>39</v>
      </c>
      <c r="I42" s="43">
        <f t="shared" si="16"/>
        <v>39</v>
      </c>
      <c r="J42" s="43">
        <f t="shared" si="17"/>
        <v>39</v>
      </c>
      <c r="K42" s="43">
        <f t="shared" si="11"/>
        <v>39</v>
      </c>
      <c r="L42" s="43">
        <f t="shared" si="13"/>
        <v>39</v>
      </c>
      <c r="M42" s="43">
        <f t="shared" si="18"/>
        <v>39</v>
      </c>
      <c r="N42" s="43">
        <f t="shared" si="19"/>
        <v>39</v>
      </c>
      <c r="O42" s="43">
        <f t="shared" si="9"/>
        <v>39</v>
      </c>
      <c r="P42" s="43">
        <f t="shared" si="15"/>
        <v>39</v>
      </c>
      <c r="Q42" s="43">
        <f t="shared" si="15"/>
        <v>39</v>
      </c>
      <c r="R42" s="43">
        <f t="shared" si="5"/>
        <v>39</v>
      </c>
      <c r="S42" s="43">
        <f t="shared" si="7"/>
        <v>39</v>
      </c>
      <c r="T42" s="43">
        <f t="shared" si="7"/>
        <v>39</v>
      </c>
      <c r="U42" s="43">
        <f t="shared" si="6"/>
        <v>39</v>
      </c>
      <c r="V42" s="43">
        <f t="shared" si="20"/>
        <v>39</v>
      </c>
      <c r="W42" s="43">
        <f t="shared" si="20"/>
        <v>39</v>
      </c>
    </row>
    <row r="43" spans="1:23" x14ac:dyDescent="0.3">
      <c r="A43" s="14" t="s">
        <v>460</v>
      </c>
      <c r="B43" s="27">
        <f>'02_Giả định'!$B$47</f>
        <v>70.908000000000001</v>
      </c>
      <c r="C43" s="27">
        <f>'02_Giả định'!$B$47</f>
        <v>70.908000000000001</v>
      </c>
      <c r="D43" s="27">
        <f>'02_Giả định'!$B$47</f>
        <v>70.908000000000001</v>
      </c>
      <c r="H43" s="43">
        <f t="shared" si="14"/>
        <v>70.908000000000001</v>
      </c>
      <c r="I43" s="43">
        <f t="shared" si="16"/>
        <v>70.908000000000001</v>
      </c>
      <c r="J43" s="43">
        <f t="shared" si="17"/>
        <v>70.908000000000001</v>
      </c>
      <c r="K43" s="43">
        <f t="shared" si="11"/>
        <v>70.908000000000001</v>
      </c>
      <c r="L43" s="43">
        <f t="shared" si="13"/>
        <v>70.908000000000001</v>
      </c>
      <c r="M43" s="43">
        <f t="shared" si="18"/>
        <v>70.908000000000001</v>
      </c>
      <c r="N43" s="43">
        <f t="shared" si="19"/>
        <v>70.908000000000001</v>
      </c>
      <c r="O43" s="43">
        <f t="shared" si="9"/>
        <v>70.908000000000001</v>
      </c>
      <c r="P43" s="43">
        <f t="shared" si="15"/>
        <v>70.908000000000001</v>
      </c>
      <c r="Q43" s="43">
        <f t="shared" si="15"/>
        <v>70.908000000000001</v>
      </c>
      <c r="R43" s="43">
        <f t="shared" si="5"/>
        <v>70.908000000000001</v>
      </c>
      <c r="S43" s="43">
        <f t="shared" si="7"/>
        <v>70.908000000000001</v>
      </c>
      <c r="T43" s="43">
        <f t="shared" si="7"/>
        <v>70.908000000000001</v>
      </c>
      <c r="U43" s="43">
        <f t="shared" si="6"/>
        <v>70.908000000000001</v>
      </c>
      <c r="V43" s="43">
        <f t="shared" si="20"/>
        <v>70.908000000000001</v>
      </c>
      <c r="W43" s="43">
        <f t="shared" si="20"/>
        <v>70.908000000000001</v>
      </c>
    </row>
    <row r="44" spans="1:23" x14ac:dyDescent="0.3">
      <c r="A44" s="9" t="s">
        <v>461</v>
      </c>
      <c r="B44" s="66">
        <f>B31+B33*B32</f>
        <v>0.11223999999999999</v>
      </c>
      <c r="C44" s="66">
        <f>C31+C33*C32</f>
        <v>0.11223999999999999</v>
      </c>
      <c r="D44" s="66">
        <f>D31+D33*D32</f>
        <v>0.11223999999999999</v>
      </c>
      <c r="H44" s="66">
        <f t="shared" ref="H44:V44" si="21">H31+H33*H32</f>
        <v>0.11223999999999999</v>
      </c>
      <c r="I44" s="66">
        <f t="shared" si="21"/>
        <v>0.11223999999999999</v>
      </c>
      <c r="J44" s="66">
        <f t="shared" si="21"/>
        <v>0.11223999999999999</v>
      </c>
      <c r="K44" s="66">
        <f t="shared" si="21"/>
        <v>0.11223999999999999</v>
      </c>
      <c r="L44" s="66">
        <f t="shared" si="21"/>
        <v>0.11223999999999999</v>
      </c>
      <c r="M44" s="66">
        <f t="shared" si="21"/>
        <v>0.11799999999999999</v>
      </c>
      <c r="N44" s="66">
        <f t="shared" si="21"/>
        <v>0.12419999999999999</v>
      </c>
      <c r="O44" s="66">
        <f t="shared" si="21"/>
        <v>0.11223999999999999</v>
      </c>
      <c r="P44" s="66">
        <f t="shared" si="21"/>
        <v>0.11223999999999999</v>
      </c>
      <c r="Q44" s="66">
        <f t="shared" si="21"/>
        <v>0.11223999999999999</v>
      </c>
      <c r="R44" s="66">
        <f t="shared" si="21"/>
        <v>0.11223999999999999</v>
      </c>
      <c r="S44" s="66">
        <f t="shared" si="21"/>
        <v>0.11223999999999999</v>
      </c>
      <c r="T44" s="66">
        <f t="shared" si="21"/>
        <v>0.11223999999999999</v>
      </c>
      <c r="U44" s="66">
        <f t="shared" si="21"/>
        <v>0.11223999999999999</v>
      </c>
      <c r="V44" s="66">
        <f t="shared" si="21"/>
        <v>0.10580000000000001</v>
      </c>
      <c r="W44" s="66">
        <f t="shared" ref="W44" si="22">W31+W33*W32</f>
        <v>0.11223999999999999</v>
      </c>
    </row>
    <row r="45" spans="1:23" x14ac:dyDescent="0.3">
      <c r="A45" s="9" t="s">
        <v>316</v>
      </c>
      <c r="B45" s="66">
        <f>B31+B34*B32</f>
        <v>0.12419999999999999</v>
      </c>
      <c r="C45" s="66">
        <f>C31+C34*C32</f>
        <v>0.12419999999999999</v>
      </c>
      <c r="D45" s="66">
        <f>D31+D34*D32</f>
        <v>0.12419999999999999</v>
      </c>
      <c r="H45" s="66">
        <f t="shared" ref="H45:V45" si="23">H31+H34*H32</f>
        <v>0.12419999999999999</v>
      </c>
      <c r="I45" s="66">
        <f t="shared" si="23"/>
        <v>0.12419999999999999</v>
      </c>
      <c r="J45" s="66">
        <f t="shared" si="23"/>
        <v>0.12419999999999999</v>
      </c>
      <c r="K45" s="66">
        <f t="shared" si="23"/>
        <v>0.12419999999999999</v>
      </c>
      <c r="L45" s="66">
        <f t="shared" si="23"/>
        <v>0.12419999999999999</v>
      </c>
      <c r="M45" s="66">
        <f t="shared" si="23"/>
        <v>0.13100000000000001</v>
      </c>
      <c r="N45" s="66">
        <f t="shared" si="23"/>
        <v>0.12419999999999999</v>
      </c>
      <c r="O45" s="66">
        <f t="shared" si="23"/>
        <v>0.12419999999999999</v>
      </c>
      <c r="P45" s="66">
        <f t="shared" si="23"/>
        <v>0.12419999999999999</v>
      </c>
      <c r="Q45" s="66">
        <f t="shared" si="23"/>
        <v>0.12419999999999999</v>
      </c>
      <c r="R45" s="66">
        <f t="shared" si="23"/>
        <v>0.12419999999999999</v>
      </c>
      <c r="S45" s="66">
        <f t="shared" si="23"/>
        <v>0.12419999999999999</v>
      </c>
      <c r="T45" s="66">
        <f t="shared" si="23"/>
        <v>0.12419999999999999</v>
      </c>
      <c r="U45" s="66">
        <f t="shared" si="23"/>
        <v>0.12419999999999999</v>
      </c>
      <c r="V45" s="66">
        <f t="shared" si="23"/>
        <v>0.12419999999999999</v>
      </c>
      <c r="W45" s="66">
        <f t="shared" ref="W45" si="24">W31+W34*W32</f>
        <v>0.12419999999999999</v>
      </c>
    </row>
    <row r="47" spans="1:23" x14ac:dyDescent="0.3">
      <c r="A47" s="51" t="s">
        <v>462</v>
      </c>
      <c r="B47" s="52"/>
      <c r="C47" s="52"/>
      <c r="D47" s="52"/>
      <c r="E47" s="52"/>
      <c r="F47" s="52"/>
      <c r="G47" s="52"/>
      <c r="H47" s="52"/>
      <c r="I47" s="52"/>
      <c r="J47" s="52"/>
      <c r="K47" s="52"/>
      <c r="L47" s="52"/>
      <c r="M47" s="52"/>
      <c r="N47" s="52"/>
      <c r="O47" s="52"/>
      <c r="P47" s="52"/>
      <c r="Q47" s="52"/>
      <c r="R47" s="52"/>
      <c r="S47" s="52"/>
      <c r="T47" s="52"/>
      <c r="U47" s="52"/>
      <c r="V47" s="52"/>
      <c r="W47" s="52"/>
    </row>
    <row r="48" spans="1:23" x14ac:dyDescent="0.3">
      <c r="A48" s="14" t="s">
        <v>463</v>
      </c>
      <c r="B48" s="57">
        <f>B41+B8</f>
        <v>0.33246325027295698</v>
      </c>
      <c r="C48" s="57">
        <f>C41+C8</f>
        <v>0.34746325027295699</v>
      </c>
      <c r="D48" s="57">
        <f>D41+D8</f>
        <v>0.357463250272957</v>
      </c>
      <c r="H48" s="57">
        <f t="shared" ref="H48:V48" si="25">H41+H8</f>
        <v>0.34746325027295699</v>
      </c>
      <c r="I48" s="57">
        <f t="shared" si="25"/>
        <v>0.34746325027295699</v>
      </c>
      <c r="J48" s="57">
        <f t="shared" si="25"/>
        <v>0.34746325027295699</v>
      </c>
      <c r="K48" s="57">
        <f t="shared" si="25"/>
        <v>0.34746325027295699</v>
      </c>
      <c r="L48" s="57">
        <f t="shared" si="25"/>
        <v>0.34746325027295699</v>
      </c>
      <c r="M48" s="57">
        <f t="shared" si="25"/>
        <v>0.34746325027295699</v>
      </c>
      <c r="N48" s="57">
        <f t="shared" si="25"/>
        <v>0.34746325027295699</v>
      </c>
      <c r="O48" s="57">
        <f t="shared" si="25"/>
        <v>0.34746325027295699</v>
      </c>
      <c r="P48" s="57">
        <f t="shared" si="25"/>
        <v>0.34746325027295699</v>
      </c>
      <c r="Q48" s="57">
        <f t="shared" si="25"/>
        <v>0.34746325027295699</v>
      </c>
      <c r="R48" s="57">
        <f t="shared" si="25"/>
        <v>0.34746325027295699</v>
      </c>
      <c r="S48" s="57">
        <f t="shared" si="25"/>
        <v>0.34746325027295699</v>
      </c>
      <c r="T48" s="57">
        <f t="shared" si="25"/>
        <v>0.34746325027295699</v>
      </c>
      <c r="U48" s="57">
        <f t="shared" si="25"/>
        <v>0.35380724575863537</v>
      </c>
      <c r="V48" s="57">
        <f t="shared" si="25"/>
        <v>0.34746325027295699</v>
      </c>
      <c r="W48" s="57">
        <f t="shared" ref="W48" si="26">W41+W8</f>
        <v>0.36131665922403255</v>
      </c>
    </row>
    <row r="49" spans="1:23" x14ac:dyDescent="0.3">
      <c r="A49" s="14" t="s">
        <v>464</v>
      </c>
      <c r="B49" s="43">
        <f>B40*B7+B48*B6</f>
        <v>801.4191506005053</v>
      </c>
      <c r="C49" s="43">
        <f>C40*C7+C48*C6</f>
        <v>915.28496316874464</v>
      </c>
      <c r="D49" s="43">
        <f>D40*D7+D48*D6</f>
        <v>1025.1507757369839</v>
      </c>
      <c r="H49" s="43">
        <f t="shared" ref="H49:V49" si="27">H40*H7+H48*H6</f>
        <v>915.28496316874464</v>
      </c>
      <c r="I49" s="43">
        <f t="shared" si="27"/>
        <v>915.28496316874464</v>
      </c>
      <c r="J49" s="43">
        <f t="shared" si="27"/>
        <v>915.28496316874464</v>
      </c>
      <c r="K49" s="43">
        <f t="shared" si="27"/>
        <v>915.28496316874464</v>
      </c>
      <c r="L49" s="43">
        <f t="shared" si="27"/>
        <v>915.28496316874464</v>
      </c>
      <c r="M49" s="43">
        <f t="shared" si="27"/>
        <v>915.28496316874464</v>
      </c>
      <c r="N49" s="43">
        <f t="shared" si="27"/>
        <v>915.28496316874464</v>
      </c>
      <c r="O49" s="43">
        <f t="shared" si="27"/>
        <v>915.28496316874464</v>
      </c>
      <c r="P49" s="43">
        <f t="shared" si="27"/>
        <v>816.8785062059394</v>
      </c>
      <c r="Q49" s="43">
        <f t="shared" si="27"/>
        <v>1005.6681462194969</v>
      </c>
      <c r="R49" s="43">
        <f t="shared" si="27"/>
        <v>915.28496316874464</v>
      </c>
      <c r="S49" s="43">
        <f t="shared" si="27"/>
        <v>915.28496316874464</v>
      </c>
      <c r="T49" s="43">
        <f t="shared" si="27"/>
        <v>915.28496316874464</v>
      </c>
      <c r="U49" s="43">
        <f t="shared" si="27"/>
        <v>930.82775210865668</v>
      </c>
      <c r="V49" s="43">
        <f t="shared" si="27"/>
        <v>915.28496316874464</v>
      </c>
      <c r="W49" s="43">
        <f t="shared" ref="W49" si="28">W40*W7+W48*W6</f>
        <v>917.22581509887971</v>
      </c>
    </row>
    <row r="50" spans="1:23" x14ac:dyDescent="0.3">
      <c r="A50" s="14" t="s">
        <v>465</v>
      </c>
      <c r="B50" s="43">
        <f>B9*B6</f>
        <v>616.00000000000011</v>
      </c>
      <c r="C50" s="43">
        <f>C9*C6</f>
        <v>661.5</v>
      </c>
      <c r="D50" s="43">
        <f>D9*D6</f>
        <v>702</v>
      </c>
      <c r="F50" s="38" t="s">
        <v>466</v>
      </c>
      <c r="H50" s="43">
        <f t="shared" ref="H50:V50" si="29">H9*H6</f>
        <v>661.5</v>
      </c>
      <c r="I50" s="43">
        <f t="shared" si="29"/>
        <v>661.5</v>
      </c>
      <c r="J50" s="43">
        <f t="shared" si="29"/>
        <v>661.5</v>
      </c>
      <c r="K50" s="43">
        <f t="shared" si="29"/>
        <v>661.5</v>
      </c>
      <c r="L50" s="43">
        <f t="shared" si="29"/>
        <v>661.5</v>
      </c>
      <c r="M50" s="43">
        <f t="shared" si="29"/>
        <v>661.5</v>
      </c>
      <c r="N50" s="43">
        <f t="shared" si="29"/>
        <v>661.5</v>
      </c>
      <c r="O50" s="43">
        <f t="shared" si="29"/>
        <v>661.5</v>
      </c>
      <c r="P50" s="43">
        <f t="shared" si="29"/>
        <v>585.03222000000005</v>
      </c>
      <c r="Q50" s="43">
        <f t="shared" si="29"/>
        <v>731.73320999999999</v>
      </c>
      <c r="R50" s="43">
        <f t="shared" si="29"/>
        <v>670.47890415438144</v>
      </c>
      <c r="S50" s="43">
        <f t="shared" si="29"/>
        <v>661.5</v>
      </c>
      <c r="T50" s="43">
        <f t="shared" si="29"/>
        <v>661.5</v>
      </c>
      <c r="U50" s="43">
        <f t="shared" si="29"/>
        <v>661.5</v>
      </c>
      <c r="V50" s="43">
        <f t="shared" si="29"/>
        <v>661.5</v>
      </c>
      <c r="W50" s="43">
        <f t="shared" ref="W50" si="30">W9*W6</f>
        <v>661.5</v>
      </c>
    </row>
    <row r="51" spans="1:23" ht="24" x14ac:dyDescent="0.3">
      <c r="A51" s="9" t="s">
        <v>467</v>
      </c>
      <c r="B51" s="67">
        <f>B49-B50-B42</f>
        <v>146.41915060050519</v>
      </c>
      <c r="C51" s="67">
        <f>C49-C50-C42</f>
        <v>214.78496316874464</v>
      </c>
      <c r="D51" s="67">
        <f>D49-D50-D42</f>
        <v>284.15077573698386</v>
      </c>
      <c r="F51" s="38" t="s">
        <v>468</v>
      </c>
      <c r="H51" s="67">
        <f t="shared" ref="H51:V51" si="31">H49-H50-H42</f>
        <v>214.78496316874464</v>
      </c>
      <c r="I51" s="67">
        <f t="shared" si="31"/>
        <v>214.78496316874464</v>
      </c>
      <c r="J51" s="67">
        <f t="shared" si="31"/>
        <v>214.78496316874464</v>
      </c>
      <c r="K51" s="67">
        <f t="shared" si="31"/>
        <v>214.78496316874464</v>
      </c>
      <c r="L51" s="67">
        <f t="shared" si="31"/>
        <v>214.78496316874464</v>
      </c>
      <c r="M51" s="67">
        <f t="shared" si="31"/>
        <v>214.78496316874464</v>
      </c>
      <c r="N51" s="67">
        <f t="shared" si="31"/>
        <v>214.78496316874464</v>
      </c>
      <c r="O51" s="67">
        <f t="shared" si="31"/>
        <v>214.78496316874464</v>
      </c>
      <c r="P51" s="67">
        <f t="shared" si="31"/>
        <v>192.84628620593935</v>
      </c>
      <c r="Q51" s="67">
        <f t="shared" si="31"/>
        <v>234.93493621949688</v>
      </c>
      <c r="R51" s="67">
        <f t="shared" si="31"/>
        <v>205.8060590143632</v>
      </c>
      <c r="S51" s="67">
        <f t="shared" si="31"/>
        <v>214.78496316874464</v>
      </c>
      <c r="T51" s="67">
        <f t="shared" si="31"/>
        <v>214.78496316874464</v>
      </c>
      <c r="U51" s="67">
        <f t="shared" si="31"/>
        <v>230.32775210865668</v>
      </c>
      <c r="V51" s="67">
        <f t="shared" si="31"/>
        <v>214.78496316874464</v>
      </c>
      <c r="W51" s="67">
        <f t="shared" ref="W51" si="32">W49-W50-W42</f>
        <v>216.72581509887971</v>
      </c>
    </row>
    <row r="52" spans="1:23" x14ac:dyDescent="0.3">
      <c r="A52" s="14" t="s">
        <v>469</v>
      </c>
      <c r="B52" s="43">
        <f>B51*(1-B10)</f>
        <v>130.31304403444963</v>
      </c>
      <c r="C52" s="43">
        <f>C51*(1-C10)</f>
        <v>195.45431648355762</v>
      </c>
      <c r="D52" s="43">
        <f>D51*(1-D10)</f>
        <v>261.41871367802514</v>
      </c>
      <c r="H52" s="43">
        <f t="shared" ref="H52:V52" si="33">H51*(1-H10)</f>
        <v>195.45431648355762</v>
      </c>
      <c r="I52" s="43">
        <f t="shared" si="33"/>
        <v>195.45431648355762</v>
      </c>
      <c r="J52" s="43">
        <f t="shared" si="33"/>
        <v>195.45431648355762</v>
      </c>
      <c r="K52" s="43">
        <f t="shared" si="33"/>
        <v>195.45431648355762</v>
      </c>
      <c r="L52" s="43">
        <f t="shared" si="33"/>
        <v>195.45431648355762</v>
      </c>
      <c r="M52" s="43">
        <f t="shared" si="33"/>
        <v>195.45431648355762</v>
      </c>
      <c r="N52" s="43">
        <f t="shared" si="33"/>
        <v>195.45431648355762</v>
      </c>
      <c r="O52" s="43">
        <f t="shared" si="33"/>
        <v>195.45431648355762</v>
      </c>
      <c r="P52" s="43">
        <f t="shared" si="33"/>
        <v>175.49012044740482</v>
      </c>
      <c r="Q52" s="43">
        <f t="shared" si="33"/>
        <v>213.79079195974217</v>
      </c>
      <c r="R52" s="43">
        <f t="shared" si="33"/>
        <v>187.28351370307053</v>
      </c>
      <c r="S52" s="43">
        <f t="shared" si="33"/>
        <v>195.45431648355762</v>
      </c>
      <c r="T52" s="43">
        <f t="shared" si="33"/>
        <v>195.45431648355762</v>
      </c>
      <c r="U52" s="43">
        <f t="shared" si="33"/>
        <v>209.59825441887759</v>
      </c>
      <c r="V52" s="43">
        <f t="shared" si="33"/>
        <v>195.45431648355762</v>
      </c>
      <c r="W52" s="43">
        <f t="shared" ref="W52" si="34">W51*(1-W10)</f>
        <v>197.22049173998053</v>
      </c>
    </row>
    <row r="53" spans="1:23" x14ac:dyDescent="0.3">
      <c r="A53" s="9" t="s">
        <v>470</v>
      </c>
      <c r="B53" s="68">
        <f>B52*(1-B36)</f>
        <v>117.28173963100467</v>
      </c>
      <c r="C53" s="68">
        <f>C52*(1-C36)</f>
        <v>175.90888483520186</v>
      </c>
      <c r="D53" s="68">
        <f>D52*(1-D36)</f>
        <v>235.27684231022263</v>
      </c>
      <c r="H53" s="68">
        <f t="shared" ref="H53:V53" si="35">H52*(1-H36)</f>
        <v>175.90888483520186</v>
      </c>
      <c r="I53" s="68">
        <f t="shared" si="35"/>
        <v>175.90888483520186</v>
      </c>
      <c r="J53" s="68">
        <f t="shared" si="35"/>
        <v>175.90888483520186</v>
      </c>
      <c r="K53" s="68">
        <f t="shared" si="35"/>
        <v>175.90888483520186</v>
      </c>
      <c r="L53" s="68">
        <f t="shared" si="35"/>
        <v>175.90888483520186</v>
      </c>
      <c r="M53" s="68">
        <f t="shared" si="35"/>
        <v>175.90888483520186</v>
      </c>
      <c r="N53" s="68">
        <f t="shared" si="35"/>
        <v>175.90888483520186</v>
      </c>
      <c r="O53" s="68">
        <f t="shared" si="35"/>
        <v>175.90888483520186</v>
      </c>
      <c r="P53" s="68">
        <f t="shared" si="35"/>
        <v>157.94110840266436</v>
      </c>
      <c r="Q53" s="68">
        <f t="shared" si="35"/>
        <v>192.41171276376795</v>
      </c>
      <c r="R53" s="68">
        <f t="shared" si="35"/>
        <v>168.55516233276347</v>
      </c>
      <c r="S53" s="68">
        <f t="shared" si="35"/>
        <v>175.90888483520186</v>
      </c>
      <c r="T53" s="68">
        <f t="shared" si="35"/>
        <v>175.90888483520186</v>
      </c>
      <c r="U53" s="68">
        <f t="shared" si="35"/>
        <v>188.63842897698984</v>
      </c>
      <c r="V53" s="68">
        <f t="shared" si="35"/>
        <v>175.90888483520186</v>
      </c>
      <c r="W53" s="68">
        <f t="shared" ref="W53" si="36">W52*(1-W36)</f>
        <v>177.49844256598249</v>
      </c>
    </row>
    <row r="54" spans="1:23" x14ac:dyDescent="0.3">
      <c r="A54" s="14" t="s">
        <v>471</v>
      </c>
      <c r="B54" s="15">
        <f>B53*1000/'01_Số liệu gốc'!$B$8</f>
        <v>1066.1976330091334</v>
      </c>
      <c r="C54" s="15">
        <f>C53*1000/'01_Số liệu gốc'!$B$8</f>
        <v>1599.171680320017</v>
      </c>
      <c r="D54" s="15">
        <f>D53*1000/'01_Số liệu gốc'!$B$8</f>
        <v>2138.8803846383876</v>
      </c>
      <c r="H54" s="15">
        <f>H53*1000/'01_Số liệu gốc'!$B$8</f>
        <v>1599.171680320017</v>
      </c>
      <c r="I54" s="15">
        <f>I53*1000/'01_Số liệu gốc'!$B$8</f>
        <v>1599.171680320017</v>
      </c>
      <c r="J54" s="15">
        <f>J53*1000/'01_Số liệu gốc'!$B$8</f>
        <v>1599.171680320017</v>
      </c>
      <c r="K54" s="15">
        <f>K53*1000/'01_Số liệu gốc'!$B$8</f>
        <v>1599.171680320017</v>
      </c>
      <c r="L54" s="15">
        <f>L53*1000/'01_Số liệu gốc'!$B$8</f>
        <v>1599.171680320017</v>
      </c>
      <c r="M54" s="15">
        <f>M53*1000/'01_Số liệu gốc'!$B$8</f>
        <v>1599.171680320017</v>
      </c>
      <c r="N54" s="15">
        <f>N53*1000/'01_Số liệu gốc'!$B$8</f>
        <v>1599.171680320017</v>
      </c>
      <c r="O54" s="15">
        <f>O53*1000/'01_Số liệu gốc'!$B$8</f>
        <v>1599.171680320017</v>
      </c>
      <c r="P54" s="15">
        <f>P53*1000/'01_Số liệu gốc'!$B$8</f>
        <v>1435.8282582060397</v>
      </c>
      <c r="Q54" s="15">
        <f>Q53*1000/'01_Số liệu gốc'!$B$8</f>
        <v>1749.1973887615268</v>
      </c>
      <c r="R54" s="15">
        <f>R53*1000/'01_Số liệu gốc'!$B$8</f>
        <v>1532.319657570577</v>
      </c>
      <c r="S54" s="15">
        <f>S53*1000/'01_Số liệu gốc'!$B$8</f>
        <v>1599.171680320017</v>
      </c>
      <c r="T54" s="15">
        <f>T53*1000/'01_Số liệu gốc'!$B$8</f>
        <v>1599.171680320017</v>
      </c>
      <c r="U54" s="15">
        <f>U53*1000/'01_Số liệu gốc'!$B$8</f>
        <v>1714.8948088817258</v>
      </c>
      <c r="V54" s="15">
        <f>V53*1000/'01_Số liệu gốc'!$B$8</f>
        <v>1599.171680320017</v>
      </c>
      <c r="W54" s="15">
        <f>W53*1000/'01_Số liệu gốc'!$B$8</f>
        <v>1613.6222051452953</v>
      </c>
    </row>
    <row r="55" spans="1:23" x14ac:dyDescent="0.3">
      <c r="A55" s="14" t="s">
        <v>472</v>
      </c>
      <c r="B55" s="43">
        <f>B51+B43</f>
        <v>217.32715060050521</v>
      </c>
      <c r="C55" s="43">
        <f>C51+C43</f>
        <v>285.69296316874465</v>
      </c>
      <c r="D55" s="43">
        <f>D51+D43</f>
        <v>355.05877573698388</v>
      </c>
      <c r="H55" s="43">
        <f t="shared" ref="H55:V55" si="37">H51+H43</f>
        <v>285.69296316874465</v>
      </c>
      <c r="I55" s="43">
        <f t="shared" si="37"/>
        <v>285.69296316874465</v>
      </c>
      <c r="J55" s="43">
        <f t="shared" si="37"/>
        <v>285.69296316874465</v>
      </c>
      <c r="K55" s="43">
        <f t="shared" si="37"/>
        <v>285.69296316874465</v>
      </c>
      <c r="L55" s="43">
        <f t="shared" si="37"/>
        <v>285.69296316874465</v>
      </c>
      <c r="M55" s="43">
        <f t="shared" si="37"/>
        <v>285.69296316874465</v>
      </c>
      <c r="N55" s="43">
        <f t="shared" si="37"/>
        <v>285.69296316874465</v>
      </c>
      <c r="O55" s="43">
        <f t="shared" si="37"/>
        <v>285.69296316874465</v>
      </c>
      <c r="P55" s="43">
        <f t="shared" si="37"/>
        <v>263.75428620593937</v>
      </c>
      <c r="Q55" s="43">
        <f t="shared" si="37"/>
        <v>305.84293621949689</v>
      </c>
      <c r="R55" s="43">
        <f t="shared" si="37"/>
        <v>276.71405901436322</v>
      </c>
      <c r="S55" s="43">
        <f t="shared" si="37"/>
        <v>285.69296316874465</v>
      </c>
      <c r="T55" s="43">
        <f t="shared" si="37"/>
        <v>285.69296316874465</v>
      </c>
      <c r="U55" s="43">
        <f t="shared" si="37"/>
        <v>301.2357521086567</v>
      </c>
      <c r="V55" s="43">
        <f t="shared" si="37"/>
        <v>285.69296316874465</v>
      </c>
      <c r="W55" s="43">
        <f t="shared" ref="W55" si="38">W51+W43</f>
        <v>287.63381509887972</v>
      </c>
    </row>
    <row r="56" spans="1:23" x14ac:dyDescent="0.3">
      <c r="A56" s="14" t="s">
        <v>473</v>
      </c>
      <c r="B56" s="27">
        <f>'01_Số liệu gốc'!$C$72</f>
        <v>463.2349999999999</v>
      </c>
      <c r="C56" s="27">
        <f>'01_Số liệu gốc'!$C$72</f>
        <v>463.2349999999999</v>
      </c>
      <c r="D56" s="27">
        <f>'01_Số liệu gốc'!$C$72</f>
        <v>463.2349999999999</v>
      </c>
      <c r="H56" s="27">
        <f>'01_Số liệu gốc'!$C$72</f>
        <v>463.2349999999999</v>
      </c>
      <c r="I56" s="27">
        <f>'01_Số liệu gốc'!$C$72</f>
        <v>463.2349999999999</v>
      </c>
      <c r="J56" s="27">
        <f>'01_Số liệu gốc'!$C$72</f>
        <v>463.2349999999999</v>
      </c>
      <c r="K56" s="27">
        <f>'01_Số liệu gốc'!$C$72</f>
        <v>463.2349999999999</v>
      </c>
      <c r="L56" s="27">
        <f>'01_Số liệu gốc'!$C$72</f>
        <v>463.2349999999999</v>
      </c>
      <c r="M56" s="27">
        <f>'01_Số liệu gốc'!$C$72</f>
        <v>463.2349999999999</v>
      </c>
      <c r="N56" s="27">
        <f>'01_Số liệu gốc'!$C$72</f>
        <v>463.2349999999999</v>
      </c>
      <c r="O56" s="27">
        <f>'01_Số liệu gốc'!$C$72</f>
        <v>463.2349999999999</v>
      </c>
      <c r="P56" s="27">
        <f>'01_Số liệu gốc'!$C$72</f>
        <v>463.2349999999999</v>
      </c>
      <c r="Q56" s="27">
        <f>'01_Số liệu gốc'!$C$72</f>
        <v>463.2349999999999</v>
      </c>
      <c r="R56" s="27">
        <f>'01_Số liệu gốc'!$C$72</f>
        <v>463.2349999999999</v>
      </c>
      <c r="S56" s="27">
        <f>'01_Số liệu gốc'!$C$72</f>
        <v>463.2349999999999</v>
      </c>
      <c r="T56" s="27">
        <f>'01_Số liệu gốc'!$C$72</f>
        <v>463.2349999999999</v>
      </c>
      <c r="U56" s="27">
        <f>'01_Số liệu gốc'!$C$72</f>
        <v>463.2349999999999</v>
      </c>
      <c r="V56" s="27">
        <f>'01_Số liệu gốc'!$C$72</f>
        <v>463.2349999999999</v>
      </c>
      <c r="W56" s="27">
        <f>'01_Số liệu gốc'!$C$72</f>
        <v>463.2349999999999</v>
      </c>
    </row>
    <row r="57" spans="1:23" x14ac:dyDescent="0.3">
      <c r="A57" s="14" t="s">
        <v>474</v>
      </c>
      <c r="B57" s="57">
        <f>B52/B56</f>
        <v>0.28131087684317824</v>
      </c>
      <c r="C57" s="57">
        <f>C52/C56</f>
        <v>0.42193339554126452</v>
      </c>
      <c r="D57" s="57">
        <f>D52/D56</f>
        <v>0.56433281957974935</v>
      </c>
      <c r="H57" s="57">
        <f t="shared" ref="H57:V57" si="39">H52/H56</f>
        <v>0.42193339554126452</v>
      </c>
      <c r="I57" s="57">
        <f t="shared" si="39"/>
        <v>0.42193339554126452</v>
      </c>
      <c r="J57" s="57">
        <f t="shared" si="39"/>
        <v>0.42193339554126452</v>
      </c>
      <c r="K57" s="57">
        <f t="shared" si="39"/>
        <v>0.42193339554126452</v>
      </c>
      <c r="L57" s="57">
        <f t="shared" si="39"/>
        <v>0.42193339554126452</v>
      </c>
      <c r="M57" s="57">
        <f t="shared" si="39"/>
        <v>0.42193339554126452</v>
      </c>
      <c r="N57" s="57">
        <f t="shared" si="39"/>
        <v>0.42193339554126452</v>
      </c>
      <c r="O57" s="57">
        <f t="shared" si="39"/>
        <v>0.42193339554126452</v>
      </c>
      <c r="P57" s="57">
        <f t="shared" si="39"/>
        <v>0.37883605609983023</v>
      </c>
      <c r="Q57" s="57">
        <f t="shared" si="39"/>
        <v>0.46151692328891863</v>
      </c>
      <c r="R57" s="57">
        <f t="shared" si="39"/>
        <v>0.40429482595889898</v>
      </c>
      <c r="S57" s="57">
        <f t="shared" si="39"/>
        <v>0.42193339554126452</v>
      </c>
      <c r="T57" s="57">
        <f t="shared" si="39"/>
        <v>0.42193339554126452</v>
      </c>
      <c r="U57" s="57">
        <f t="shared" si="39"/>
        <v>0.45246636031145665</v>
      </c>
      <c r="V57" s="57">
        <f t="shared" si="39"/>
        <v>0.42193339554126452</v>
      </c>
      <c r="W57" s="57">
        <f t="shared" ref="W57" si="40">W52/W56</f>
        <v>0.4257460937536684</v>
      </c>
    </row>
    <row r="59" spans="1:23" x14ac:dyDescent="0.3">
      <c r="A59" s="51" t="s">
        <v>475</v>
      </c>
      <c r="B59" s="52"/>
      <c r="C59" s="52"/>
      <c r="D59" s="52"/>
      <c r="E59" s="52"/>
      <c r="F59" s="52"/>
      <c r="G59" s="52"/>
      <c r="H59" s="52"/>
      <c r="I59" s="52"/>
      <c r="J59" s="52"/>
      <c r="K59" s="52"/>
      <c r="L59" s="52"/>
      <c r="M59" s="52"/>
      <c r="N59" s="52"/>
      <c r="O59" s="52"/>
      <c r="P59" s="52"/>
      <c r="Q59" s="52"/>
      <c r="R59" s="52"/>
      <c r="S59" s="52"/>
      <c r="T59" s="52"/>
      <c r="U59" s="52"/>
      <c r="V59" s="52"/>
      <c r="W59" s="52"/>
    </row>
    <row r="60" spans="1:23" x14ac:dyDescent="0.3">
      <c r="A60" s="14" t="s">
        <v>476</v>
      </c>
      <c r="B60" s="43">
        <f>B17+B18</f>
        <v>1196</v>
      </c>
      <c r="C60" s="43">
        <f>C17+C18</f>
        <v>1120</v>
      </c>
      <c r="D60" s="43">
        <f>D17+D18</f>
        <v>1120</v>
      </c>
      <c r="H60" s="43">
        <f t="shared" ref="H60:V60" si="41">H17+H18</f>
        <v>1120</v>
      </c>
      <c r="I60" s="43">
        <f t="shared" si="41"/>
        <v>1120</v>
      </c>
      <c r="J60" s="43">
        <f t="shared" si="41"/>
        <v>1120</v>
      </c>
      <c r="K60" s="43">
        <f t="shared" si="41"/>
        <v>1120</v>
      </c>
      <c r="L60" s="43">
        <f t="shared" si="41"/>
        <v>1120</v>
      </c>
      <c r="M60" s="43">
        <f t="shared" si="41"/>
        <v>1120</v>
      </c>
      <c r="N60" s="43">
        <f t="shared" si="41"/>
        <v>1120</v>
      </c>
      <c r="O60" s="43">
        <f t="shared" si="41"/>
        <v>1120</v>
      </c>
      <c r="P60" s="43">
        <f t="shared" si="41"/>
        <v>1120</v>
      </c>
      <c r="Q60" s="43">
        <f t="shared" si="41"/>
        <v>1120</v>
      </c>
      <c r="R60" s="43">
        <f t="shared" si="41"/>
        <v>1120</v>
      </c>
      <c r="S60" s="43">
        <f t="shared" si="41"/>
        <v>1120</v>
      </c>
      <c r="T60" s="43">
        <f t="shared" si="41"/>
        <v>1120</v>
      </c>
      <c r="U60" s="43">
        <f t="shared" si="41"/>
        <v>1120</v>
      </c>
      <c r="V60" s="43">
        <f t="shared" si="41"/>
        <v>1120</v>
      </c>
      <c r="W60" s="43">
        <f t="shared" ref="W60" si="42">W17+W18</f>
        <v>1120</v>
      </c>
    </row>
    <row r="61" spans="1:23" x14ac:dyDescent="0.3">
      <c r="A61" s="14" t="s">
        <v>477</v>
      </c>
      <c r="B61" s="27">
        <f>MAX(0,B60-'01_Số liệu gốc'!$C$67)</f>
        <v>780.67899999999997</v>
      </c>
      <c r="C61" s="27">
        <f>MAX(0,C60-'01_Số liệu gốc'!$C$67)</f>
        <v>704.67899999999997</v>
      </c>
      <c r="D61" s="27">
        <f>MAX(0,D60-'01_Số liệu gốc'!$C$67)</f>
        <v>704.67899999999997</v>
      </c>
      <c r="F61" s="38" t="s">
        <v>478</v>
      </c>
      <c r="H61" s="27">
        <f>MAX(0,H60-'01_Số liệu gốc'!$C$67)</f>
        <v>704.67899999999997</v>
      </c>
      <c r="I61" s="27">
        <f>MAX(0,I60-'01_Số liệu gốc'!$C$67)</f>
        <v>704.67899999999997</v>
      </c>
      <c r="J61" s="27">
        <f>MAX(0,J60-'01_Số liệu gốc'!$C$67)</f>
        <v>704.67899999999997</v>
      </c>
      <c r="K61" s="27">
        <f>MAX(0,K60-'01_Số liệu gốc'!$C$67)</f>
        <v>704.67899999999997</v>
      </c>
      <c r="L61" s="27">
        <f>MAX(0,L60-'01_Số liệu gốc'!$C$67)</f>
        <v>704.67899999999997</v>
      </c>
      <c r="M61" s="27">
        <f>MAX(0,M60-'01_Số liệu gốc'!$C$67)</f>
        <v>704.67899999999997</v>
      </c>
      <c r="N61" s="27">
        <f>MAX(0,N60-'01_Số liệu gốc'!$C$67)</f>
        <v>704.67899999999997</v>
      </c>
      <c r="O61" s="27">
        <f>MAX(0,O60-'01_Số liệu gốc'!$C$67)</f>
        <v>704.67899999999997</v>
      </c>
      <c r="P61" s="27">
        <f>MAX(0,P60-'01_Số liệu gốc'!$C$67)</f>
        <v>704.67899999999997</v>
      </c>
      <c r="Q61" s="27">
        <f>MAX(0,Q60-'01_Số liệu gốc'!$C$67)</f>
        <v>704.67899999999997</v>
      </c>
      <c r="R61" s="27">
        <f>MAX(0,R60-'01_Số liệu gốc'!$C$67)</f>
        <v>704.67899999999997</v>
      </c>
      <c r="S61" s="27">
        <f>MAX(0,S60-'01_Số liệu gốc'!$C$67)</f>
        <v>704.67899999999997</v>
      </c>
      <c r="T61" s="27">
        <f>MAX(0,T60-'01_Số liệu gốc'!$C$67)</f>
        <v>704.67899999999997</v>
      </c>
      <c r="U61" s="27">
        <f>MAX(0,U60-'01_Số liệu gốc'!$C$67)</f>
        <v>704.67899999999997</v>
      </c>
      <c r="V61" s="27">
        <f>MAX(0,V60-'01_Số liệu gốc'!$C$67)</f>
        <v>704.67899999999997</v>
      </c>
      <c r="W61" s="27">
        <f>MAX(0,W60-'01_Số liệu gốc'!$C$67)</f>
        <v>704.67899999999997</v>
      </c>
    </row>
    <row r="62" spans="1:23" x14ac:dyDescent="0.3">
      <c r="A62" s="14" t="s">
        <v>479</v>
      </c>
      <c r="B62" s="43">
        <f>B19*B21*(1+B23)/1000</f>
        <v>245.7</v>
      </c>
      <c r="C62" s="43">
        <f>C19*C21*(1+C23)/1000</f>
        <v>304.5</v>
      </c>
      <c r="D62" s="43">
        <f>D19*D21*(1+D23)/1000</f>
        <v>369.6</v>
      </c>
      <c r="H62" s="43">
        <f t="shared" ref="H62:V62" si="43">H19*H21*(1+H23)/1000</f>
        <v>304.5</v>
      </c>
      <c r="I62" s="43">
        <f t="shared" si="43"/>
        <v>304.5</v>
      </c>
      <c r="J62" s="43">
        <f t="shared" si="43"/>
        <v>304.5</v>
      </c>
      <c r="K62" s="43">
        <f t="shared" si="43"/>
        <v>273</v>
      </c>
      <c r="L62" s="43">
        <f t="shared" si="43"/>
        <v>304.5</v>
      </c>
      <c r="M62" s="43">
        <f t="shared" si="43"/>
        <v>304.5</v>
      </c>
      <c r="N62" s="43">
        <f t="shared" si="43"/>
        <v>304.5</v>
      </c>
      <c r="O62" s="43">
        <f t="shared" si="43"/>
        <v>304.5</v>
      </c>
      <c r="P62" s="43">
        <f t="shared" si="43"/>
        <v>304.5</v>
      </c>
      <c r="Q62" s="43">
        <f t="shared" si="43"/>
        <v>304.5</v>
      </c>
      <c r="R62" s="43">
        <f t="shared" si="43"/>
        <v>304.5</v>
      </c>
      <c r="S62" s="43">
        <f t="shared" si="43"/>
        <v>304.5</v>
      </c>
      <c r="T62" s="43">
        <f t="shared" si="43"/>
        <v>304.5</v>
      </c>
      <c r="U62" s="43">
        <f t="shared" si="43"/>
        <v>304.5</v>
      </c>
      <c r="V62" s="43">
        <f t="shared" si="43"/>
        <v>304.5</v>
      </c>
      <c r="W62" s="43">
        <f t="shared" ref="W62" si="44">W19*W21*(1+W23)/1000</f>
        <v>304.5</v>
      </c>
    </row>
    <row r="63" spans="1:23" x14ac:dyDescent="0.3">
      <c r="A63" s="14" t="s">
        <v>480</v>
      </c>
      <c r="B63" s="43">
        <f>B62-B19*B22/1000</f>
        <v>38.699999999999989</v>
      </c>
      <c r="C63" s="43">
        <f>C62-C19*C22/1000</f>
        <v>94.5</v>
      </c>
      <c r="D63" s="43">
        <f>D62-D19*D22/1000</f>
        <v>160.60000000000002</v>
      </c>
      <c r="H63" s="43">
        <f t="shared" ref="H63:V63" si="45">H62-H19*H22/1000</f>
        <v>94.5</v>
      </c>
      <c r="I63" s="43">
        <f t="shared" si="45"/>
        <v>94.5</v>
      </c>
      <c r="J63" s="43">
        <f t="shared" si="45"/>
        <v>94.5</v>
      </c>
      <c r="K63" s="43">
        <f t="shared" si="45"/>
        <v>63</v>
      </c>
      <c r="L63" s="43">
        <f t="shared" si="45"/>
        <v>74.5</v>
      </c>
      <c r="M63" s="43">
        <f t="shared" si="45"/>
        <v>94.5</v>
      </c>
      <c r="N63" s="43">
        <f t="shared" si="45"/>
        <v>94.5</v>
      </c>
      <c r="O63" s="43">
        <f t="shared" si="45"/>
        <v>94.5</v>
      </c>
      <c r="P63" s="43">
        <f t="shared" si="45"/>
        <v>94.5</v>
      </c>
      <c r="Q63" s="43">
        <f t="shared" si="45"/>
        <v>94.5</v>
      </c>
      <c r="R63" s="43">
        <f t="shared" si="45"/>
        <v>94.5</v>
      </c>
      <c r="S63" s="43">
        <f t="shared" si="45"/>
        <v>94.5</v>
      </c>
      <c r="T63" s="43">
        <f t="shared" si="45"/>
        <v>94.5</v>
      </c>
      <c r="U63" s="43">
        <f t="shared" si="45"/>
        <v>94.5</v>
      </c>
      <c r="V63" s="43">
        <f t="shared" si="45"/>
        <v>94.5</v>
      </c>
      <c r="W63" s="43">
        <f t="shared" ref="W63" si="46">W62-W19*W22/1000</f>
        <v>94.5</v>
      </c>
    </row>
    <row r="64" spans="1:23" x14ac:dyDescent="0.3">
      <c r="A64" s="14" t="s">
        <v>481</v>
      </c>
      <c r="B64" s="43">
        <f>B17/B25</f>
        <v>43</v>
      </c>
      <c r="C64" s="43">
        <f>C17/C25</f>
        <v>39.200000000000003</v>
      </c>
      <c r="D64" s="43">
        <f>D17/D25</f>
        <v>39.200000000000003</v>
      </c>
      <c r="H64" s="43">
        <f t="shared" ref="H64:V64" si="47">H17/H25</f>
        <v>39.200000000000003</v>
      </c>
      <c r="I64" s="43">
        <f t="shared" si="47"/>
        <v>39.200000000000003</v>
      </c>
      <c r="J64" s="43">
        <f t="shared" si="47"/>
        <v>39.200000000000003</v>
      </c>
      <c r="K64" s="43">
        <f t="shared" si="47"/>
        <v>39.200000000000003</v>
      </c>
      <c r="L64" s="43">
        <f t="shared" si="47"/>
        <v>39.200000000000003</v>
      </c>
      <c r="M64" s="43">
        <f t="shared" si="47"/>
        <v>39.200000000000003</v>
      </c>
      <c r="N64" s="43">
        <f t="shared" si="47"/>
        <v>39.200000000000003</v>
      </c>
      <c r="O64" s="43">
        <f t="shared" si="47"/>
        <v>39.200000000000003</v>
      </c>
      <c r="P64" s="43">
        <f t="shared" si="47"/>
        <v>39.200000000000003</v>
      </c>
      <c r="Q64" s="43">
        <f t="shared" si="47"/>
        <v>39.200000000000003</v>
      </c>
      <c r="R64" s="43">
        <f t="shared" si="47"/>
        <v>39.200000000000003</v>
      </c>
      <c r="S64" s="43">
        <f t="shared" si="47"/>
        <v>39.200000000000003</v>
      </c>
      <c r="T64" s="43">
        <f t="shared" si="47"/>
        <v>39.200000000000003</v>
      </c>
      <c r="U64" s="43">
        <f t="shared" si="47"/>
        <v>39.200000000000003</v>
      </c>
      <c r="V64" s="43">
        <f t="shared" si="47"/>
        <v>39.200000000000003</v>
      </c>
      <c r="W64" s="43">
        <f t="shared" ref="W64" si="48">W17/W25</f>
        <v>39.200000000000003</v>
      </c>
    </row>
    <row r="65" spans="1:23" x14ac:dyDescent="0.3">
      <c r="A65" s="14" t="s">
        <v>482</v>
      </c>
      <c r="B65" s="43">
        <f>B63-B64</f>
        <v>-4.3000000000000114</v>
      </c>
      <c r="C65" s="43">
        <f>C63-C64</f>
        <v>55.3</v>
      </c>
      <c r="D65" s="43">
        <f>D63-D64</f>
        <v>121.40000000000002</v>
      </c>
      <c r="H65" s="43">
        <f t="shared" ref="H65:V65" si="49">H63-H64</f>
        <v>55.3</v>
      </c>
      <c r="I65" s="43">
        <f t="shared" si="49"/>
        <v>55.3</v>
      </c>
      <c r="J65" s="43">
        <f t="shared" si="49"/>
        <v>55.3</v>
      </c>
      <c r="K65" s="43">
        <f t="shared" si="49"/>
        <v>23.799999999999997</v>
      </c>
      <c r="L65" s="43">
        <f t="shared" si="49"/>
        <v>35.299999999999997</v>
      </c>
      <c r="M65" s="43">
        <f t="shared" si="49"/>
        <v>55.3</v>
      </c>
      <c r="N65" s="43">
        <f t="shared" si="49"/>
        <v>55.3</v>
      </c>
      <c r="O65" s="43">
        <f t="shared" si="49"/>
        <v>55.3</v>
      </c>
      <c r="P65" s="43">
        <f t="shared" si="49"/>
        <v>55.3</v>
      </c>
      <c r="Q65" s="43">
        <f t="shared" si="49"/>
        <v>55.3</v>
      </c>
      <c r="R65" s="43">
        <f t="shared" si="49"/>
        <v>55.3</v>
      </c>
      <c r="S65" s="43">
        <f t="shared" si="49"/>
        <v>55.3</v>
      </c>
      <c r="T65" s="43">
        <f t="shared" si="49"/>
        <v>55.3</v>
      </c>
      <c r="U65" s="43">
        <f t="shared" si="49"/>
        <v>55.3</v>
      </c>
      <c r="V65" s="43">
        <f t="shared" si="49"/>
        <v>55.3</v>
      </c>
      <c r="W65" s="43">
        <f t="shared" ref="W65" si="50">W63-W64</f>
        <v>55.3</v>
      </c>
    </row>
    <row r="66" spans="1:23" x14ac:dyDescent="0.3">
      <c r="A66" s="14" t="s">
        <v>483</v>
      </c>
      <c r="B66" s="43">
        <f>B63-B24</f>
        <v>23.699999999999989</v>
      </c>
      <c r="C66" s="43">
        <f>C63-C24</f>
        <v>79.5</v>
      </c>
      <c r="D66" s="43">
        <f>D63-D24</f>
        <v>145.60000000000002</v>
      </c>
      <c r="H66" s="43">
        <f t="shared" ref="H66:V66" si="51">H63-H24</f>
        <v>79.5</v>
      </c>
      <c r="I66" s="43">
        <f t="shared" si="51"/>
        <v>79.5</v>
      </c>
      <c r="J66" s="43">
        <f t="shared" si="51"/>
        <v>79.5</v>
      </c>
      <c r="K66" s="43">
        <f t="shared" si="51"/>
        <v>48</v>
      </c>
      <c r="L66" s="43">
        <f t="shared" si="51"/>
        <v>59.5</v>
      </c>
      <c r="M66" s="43">
        <f t="shared" si="51"/>
        <v>79.5</v>
      </c>
      <c r="N66" s="43">
        <f t="shared" si="51"/>
        <v>79.5</v>
      </c>
      <c r="O66" s="43">
        <f t="shared" si="51"/>
        <v>79.5</v>
      </c>
      <c r="P66" s="43">
        <f t="shared" si="51"/>
        <v>79.5</v>
      </c>
      <c r="Q66" s="43">
        <f t="shared" si="51"/>
        <v>79.5</v>
      </c>
      <c r="R66" s="43">
        <f t="shared" si="51"/>
        <v>79.5</v>
      </c>
      <c r="S66" s="43">
        <f t="shared" si="51"/>
        <v>79.5</v>
      </c>
      <c r="T66" s="43">
        <f t="shared" si="51"/>
        <v>79.5</v>
      </c>
      <c r="U66" s="43">
        <f t="shared" si="51"/>
        <v>79.5</v>
      </c>
      <c r="V66" s="43">
        <f t="shared" si="51"/>
        <v>79.5</v>
      </c>
      <c r="W66" s="43">
        <f t="shared" ref="W66" si="52">W63-W24</f>
        <v>79.5</v>
      </c>
    </row>
    <row r="67" spans="1:23" x14ac:dyDescent="0.3">
      <c r="A67" s="14" t="s">
        <v>484</v>
      </c>
      <c r="B67" s="57">
        <f>B65/B17</f>
        <v>-5.0000000000000131E-3</v>
      </c>
      <c r="C67" s="57">
        <f>C65/C17</f>
        <v>7.0535714285714285E-2</v>
      </c>
      <c r="D67" s="57">
        <f>D65/D17</f>
        <v>0.15484693877551023</v>
      </c>
      <c r="H67" s="57">
        <f t="shared" ref="H67:V67" si="53">H65/H17</f>
        <v>7.0535714285714285E-2</v>
      </c>
      <c r="I67" s="57">
        <f t="shared" si="53"/>
        <v>7.0535714285714285E-2</v>
      </c>
      <c r="J67" s="57">
        <f t="shared" si="53"/>
        <v>7.0535714285714285E-2</v>
      </c>
      <c r="K67" s="57">
        <f t="shared" si="53"/>
        <v>3.0357142857142853E-2</v>
      </c>
      <c r="L67" s="57">
        <f t="shared" si="53"/>
        <v>4.5025510204081631E-2</v>
      </c>
      <c r="M67" s="57">
        <f t="shared" si="53"/>
        <v>7.0535714285714285E-2</v>
      </c>
      <c r="N67" s="57">
        <f t="shared" si="53"/>
        <v>7.0535714285714285E-2</v>
      </c>
      <c r="O67" s="57">
        <f t="shared" si="53"/>
        <v>7.0535714285714285E-2</v>
      </c>
      <c r="P67" s="57">
        <f t="shared" si="53"/>
        <v>7.0535714285714285E-2</v>
      </c>
      <c r="Q67" s="57">
        <f t="shared" si="53"/>
        <v>7.0535714285714285E-2</v>
      </c>
      <c r="R67" s="57">
        <f t="shared" si="53"/>
        <v>7.0535714285714285E-2</v>
      </c>
      <c r="S67" s="57">
        <f t="shared" si="53"/>
        <v>7.0535714285714285E-2</v>
      </c>
      <c r="T67" s="57">
        <f t="shared" si="53"/>
        <v>7.0535714285714285E-2</v>
      </c>
      <c r="U67" s="57">
        <f t="shared" si="53"/>
        <v>7.0535714285714285E-2</v>
      </c>
      <c r="V67" s="57">
        <f t="shared" si="53"/>
        <v>7.0535714285714285E-2</v>
      </c>
      <c r="W67" s="57">
        <f t="shared" ref="W67" si="54">W65/W17</f>
        <v>7.0535714285714285E-2</v>
      </c>
    </row>
    <row r="68" spans="1:23" x14ac:dyDescent="0.3">
      <c r="A68" s="14" t="s">
        <v>485</v>
      </c>
      <c r="B68" s="43">
        <f>B26*(1-B37)</f>
        <v>0</v>
      </c>
      <c r="C68" s="43">
        <f>C26*(1-C37)</f>
        <v>8</v>
      </c>
      <c r="D68" s="43">
        <f>D26*(1-D37)</f>
        <v>20</v>
      </c>
      <c r="H68" s="43">
        <f t="shared" ref="H68:V68" si="55">H26*(1-H37)</f>
        <v>8</v>
      </c>
      <c r="I68" s="43">
        <f t="shared" si="55"/>
        <v>8</v>
      </c>
      <c r="J68" s="43">
        <f t="shared" si="55"/>
        <v>8</v>
      </c>
      <c r="K68" s="43">
        <f t="shared" si="55"/>
        <v>8</v>
      </c>
      <c r="L68" s="43">
        <f t="shared" si="55"/>
        <v>8</v>
      </c>
      <c r="M68" s="43">
        <f t="shared" si="55"/>
        <v>8</v>
      </c>
      <c r="N68" s="43">
        <f t="shared" si="55"/>
        <v>8</v>
      </c>
      <c r="O68" s="43">
        <f t="shared" si="55"/>
        <v>8</v>
      </c>
      <c r="P68" s="43">
        <f t="shared" si="55"/>
        <v>8</v>
      </c>
      <c r="Q68" s="43">
        <f t="shared" si="55"/>
        <v>8</v>
      </c>
      <c r="R68" s="43">
        <f t="shared" si="55"/>
        <v>8</v>
      </c>
      <c r="S68" s="43">
        <f t="shared" si="55"/>
        <v>8</v>
      </c>
      <c r="T68" s="43">
        <f t="shared" si="55"/>
        <v>8</v>
      </c>
      <c r="U68" s="43">
        <f t="shared" si="55"/>
        <v>8</v>
      </c>
      <c r="V68" s="43">
        <f t="shared" si="55"/>
        <v>8</v>
      </c>
      <c r="W68" s="43">
        <f t="shared" ref="W68" si="56">W26*(1-W37)</f>
        <v>8</v>
      </c>
    </row>
    <row r="69" spans="1:23" x14ac:dyDescent="0.3">
      <c r="A69" s="14" t="s">
        <v>486</v>
      </c>
      <c r="B69" s="27">
        <f>B27*MAX(0,B28-'01_Số liệu gốc'!$C$68)</f>
        <v>0</v>
      </c>
      <c r="C69" s="27">
        <f>C27*MAX(0,C28-'01_Số liệu gốc'!$C$68)</f>
        <v>711.923</v>
      </c>
      <c r="D69" s="27">
        <f>D27*MAX(0,D28-'01_Số liệu gốc'!$C$68)</f>
        <v>711.923</v>
      </c>
      <c r="F69" s="38" t="s">
        <v>487</v>
      </c>
      <c r="H69" s="27">
        <f>H27*MAX(0,H28-'01_Số liệu gốc'!$C$68)</f>
        <v>711.923</v>
      </c>
      <c r="I69" s="27">
        <f>I27*MAX(0,I28-'01_Số liệu gốc'!$C$68)</f>
        <v>0</v>
      </c>
      <c r="J69" s="27">
        <f>J27*MAX(0,J28-'01_Số liệu gốc'!$C$68)</f>
        <v>711.923</v>
      </c>
      <c r="K69" s="27">
        <f>K27*MAX(0,K28-'01_Số liệu gốc'!$C$68)</f>
        <v>711.923</v>
      </c>
      <c r="L69" s="27">
        <f>L27*MAX(0,L28-'01_Số liệu gốc'!$C$68)</f>
        <v>711.923</v>
      </c>
      <c r="M69" s="27">
        <f>M27*MAX(0,M28-'01_Số liệu gốc'!$C$68)</f>
        <v>711.923</v>
      </c>
      <c r="N69" s="27">
        <f>N27*MAX(0,N28-'01_Số liệu gốc'!$C$68)</f>
        <v>711.923</v>
      </c>
      <c r="O69" s="27">
        <f>O27*MAX(0,O28-'01_Số liệu gốc'!$C$68)</f>
        <v>711.923</v>
      </c>
      <c r="P69" s="27">
        <f>P27*MAX(0,P28-'01_Số liệu gốc'!$C$68)</f>
        <v>711.923</v>
      </c>
      <c r="Q69" s="27">
        <f>Q27*MAX(0,Q28-'01_Số liệu gốc'!$C$68)</f>
        <v>711.923</v>
      </c>
      <c r="R69" s="27">
        <f>R27*MAX(0,R28-'01_Số liệu gốc'!$C$68)</f>
        <v>711.923</v>
      </c>
      <c r="S69" s="27">
        <f>S27*MAX(0,S28-'01_Số liệu gốc'!$C$68)</f>
        <v>711.923</v>
      </c>
      <c r="T69" s="27">
        <f>T27*MAX(0,T28-'01_Số liệu gốc'!$C$68)</f>
        <v>711.923</v>
      </c>
      <c r="U69" s="27">
        <f>U27*MAX(0,U28-'01_Số liệu gốc'!$C$68)</f>
        <v>711.923</v>
      </c>
      <c r="V69" s="27">
        <f>V27*MAX(0,V28-'01_Số liệu gốc'!$C$68)</f>
        <v>711.923</v>
      </c>
      <c r="W69" s="27">
        <f>W27*MAX(0,W28-'01_Số liệu gốc'!$C$68)</f>
        <v>711.923</v>
      </c>
    </row>
    <row r="70" spans="1:23" x14ac:dyDescent="0.3">
      <c r="A70" s="14" t="s">
        <v>488</v>
      </c>
      <c r="B70" s="57">
        <f>IF(B27=0,0,B30/B28)</f>
        <v>0</v>
      </c>
      <c r="C70" s="57">
        <f>IF(C27=0,0,C30/C28)</f>
        <v>6.0565275908479141E-2</v>
      </c>
      <c r="D70" s="57">
        <f>IF(D27=0,0,D30/D28)</f>
        <v>0.1009421265141319</v>
      </c>
      <c r="H70" s="57">
        <f t="shared" ref="H70:V70" si="57">IF(H27=0,0,H30/H28)</f>
        <v>6.0565275908479141E-2</v>
      </c>
      <c r="I70" s="57">
        <f t="shared" si="57"/>
        <v>0</v>
      </c>
      <c r="J70" s="57">
        <f t="shared" si="57"/>
        <v>6.0565275908479141E-2</v>
      </c>
      <c r="K70" s="57">
        <f t="shared" si="57"/>
        <v>6.0565275908479141E-2</v>
      </c>
      <c r="L70" s="57">
        <f t="shared" si="57"/>
        <v>6.0565275908479141E-2</v>
      </c>
      <c r="M70" s="57">
        <f t="shared" si="57"/>
        <v>6.0565275908479141E-2</v>
      </c>
      <c r="N70" s="57">
        <f t="shared" si="57"/>
        <v>6.0565275908479141E-2</v>
      </c>
      <c r="O70" s="57">
        <f t="shared" si="57"/>
        <v>6.0565275908479141E-2</v>
      </c>
      <c r="P70" s="57">
        <f t="shared" si="57"/>
        <v>6.0565275908479141E-2</v>
      </c>
      <c r="Q70" s="57">
        <f t="shared" si="57"/>
        <v>6.0565275908479141E-2</v>
      </c>
      <c r="R70" s="57">
        <f t="shared" si="57"/>
        <v>6.0565275908479141E-2</v>
      </c>
      <c r="S70" s="57">
        <f t="shared" si="57"/>
        <v>6.0565275908479141E-2</v>
      </c>
      <c r="T70" s="57">
        <f t="shared" si="57"/>
        <v>6.0565275908479141E-2</v>
      </c>
      <c r="U70" s="57">
        <f t="shared" si="57"/>
        <v>6.0565275908479141E-2</v>
      </c>
      <c r="V70" s="57">
        <f t="shared" si="57"/>
        <v>6.0565275908479141E-2</v>
      </c>
      <c r="W70" s="57">
        <f t="shared" ref="W70" si="58">IF(W27=0,0,W30/W28)</f>
        <v>6.0565275908479141E-2</v>
      </c>
    </row>
    <row r="71" spans="1:23" x14ac:dyDescent="0.3">
      <c r="A71" s="14" t="s">
        <v>489</v>
      </c>
      <c r="B71" s="69">
        <f>(1-(1+B45)^-20)/B45</f>
        <v>7.2770558932781046</v>
      </c>
      <c r="C71" s="69">
        <f>(1-(1+C45)^-20)/C45</f>
        <v>7.2770558932781046</v>
      </c>
      <c r="D71" s="69">
        <f>(1-(1+D45)^-20)/D45</f>
        <v>7.2770558932781046</v>
      </c>
      <c r="H71" s="69">
        <f t="shared" ref="H71:V71" si="59">(1-(1+H45)^-20)/H45</f>
        <v>7.2770558932781046</v>
      </c>
      <c r="I71" s="69">
        <f t="shared" si="59"/>
        <v>7.2770558932781046</v>
      </c>
      <c r="J71" s="69">
        <f t="shared" si="59"/>
        <v>7.2770558932781046</v>
      </c>
      <c r="K71" s="69">
        <f t="shared" si="59"/>
        <v>7.2770558932781046</v>
      </c>
      <c r="L71" s="69">
        <f t="shared" si="59"/>
        <v>7.2770558932781046</v>
      </c>
      <c r="M71" s="69">
        <f t="shared" si="59"/>
        <v>6.9827442353889548</v>
      </c>
      <c r="N71" s="69">
        <f t="shared" si="59"/>
        <v>7.2770558932781046</v>
      </c>
      <c r="O71" s="69">
        <f t="shared" si="59"/>
        <v>7.2770558932781046</v>
      </c>
      <c r="P71" s="69">
        <f t="shared" si="59"/>
        <v>7.2770558932781046</v>
      </c>
      <c r="Q71" s="69">
        <f t="shared" si="59"/>
        <v>7.2770558932781046</v>
      </c>
      <c r="R71" s="69">
        <f t="shared" si="59"/>
        <v>7.2770558932781046</v>
      </c>
      <c r="S71" s="69">
        <f t="shared" si="59"/>
        <v>7.2770558932781046</v>
      </c>
      <c r="T71" s="69">
        <f t="shared" si="59"/>
        <v>7.2770558932781046</v>
      </c>
      <c r="U71" s="69">
        <f t="shared" si="59"/>
        <v>7.2770558932781046</v>
      </c>
      <c r="V71" s="69">
        <f t="shared" si="59"/>
        <v>7.2770558932781046</v>
      </c>
      <c r="W71" s="69">
        <f t="shared" ref="W71" si="60">(1-(1+W45)^-20)/W45</f>
        <v>7.2770558932781046</v>
      </c>
    </row>
    <row r="73" spans="1:23" x14ac:dyDescent="0.3">
      <c r="A73" s="51" t="s">
        <v>490</v>
      </c>
      <c r="B73" s="52"/>
      <c r="C73" s="52"/>
      <c r="D73" s="52"/>
      <c r="E73" s="52"/>
      <c r="F73" s="52"/>
      <c r="G73" s="52"/>
      <c r="H73" s="52"/>
      <c r="I73" s="52"/>
      <c r="J73" s="52"/>
      <c r="K73" s="52"/>
      <c r="L73" s="52"/>
      <c r="M73" s="52"/>
      <c r="N73" s="52"/>
      <c r="O73" s="52"/>
      <c r="P73" s="52"/>
      <c r="Q73" s="52"/>
      <c r="R73" s="52"/>
      <c r="S73" s="52"/>
      <c r="T73" s="52"/>
      <c r="U73" s="52"/>
      <c r="V73" s="52"/>
      <c r="W73" s="52"/>
    </row>
    <row r="74" spans="1:23" x14ac:dyDescent="0.3">
      <c r="A74" s="51" t="s">
        <v>491</v>
      </c>
      <c r="B74" s="52"/>
      <c r="C74" s="52"/>
      <c r="D74" s="52"/>
      <c r="E74" s="52"/>
      <c r="F74" s="52"/>
      <c r="G74" s="52"/>
      <c r="H74" s="52"/>
      <c r="I74" s="52"/>
      <c r="J74" s="52"/>
      <c r="K74" s="52"/>
      <c r="L74" s="52"/>
      <c r="M74" s="52"/>
      <c r="N74" s="52"/>
      <c r="O74" s="52"/>
      <c r="P74" s="52"/>
      <c r="Q74" s="52"/>
      <c r="R74" s="52"/>
      <c r="S74" s="52"/>
      <c r="T74" s="52"/>
      <c r="U74" s="52"/>
      <c r="V74" s="52"/>
      <c r="W74" s="52"/>
    </row>
    <row r="75" spans="1:23" x14ac:dyDescent="0.3">
      <c r="A75" s="14" t="s">
        <v>492</v>
      </c>
      <c r="B75" s="43">
        <f>B6*(1+B11)^0</f>
        <v>2200</v>
      </c>
      <c r="C75" s="43">
        <f>C6*(1+C11)^0</f>
        <v>2450</v>
      </c>
      <c r="D75" s="43">
        <f>D6*(1+D11)^0</f>
        <v>2700</v>
      </c>
      <c r="H75" s="43">
        <f t="shared" ref="H75:V75" si="61">H6*(1+H11)^0</f>
        <v>2450</v>
      </c>
      <c r="I75" s="43">
        <f t="shared" si="61"/>
        <v>2450</v>
      </c>
      <c r="J75" s="43">
        <f t="shared" si="61"/>
        <v>2450</v>
      </c>
      <c r="K75" s="43">
        <f t="shared" si="61"/>
        <v>2450</v>
      </c>
      <c r="L75" s="43">
        <f t="shared" si="61"/>
        <v>2450</v>
      </c>
      <c r="M75" s="43">
        <f t="shared" si="61"/>
        <v>2450</v>
      </c>
      <c r="N75" s="43">
        <f t="shared" si="61"/>
        <v>2450</v>
      </c>
      <c r="O75" s="43">
        <f t="shared" si="61"/>
        <v>2450</v>
      </c>
      <c r="P75" s="43">
        <f t="shared" si="61"/>
        <v>2166.7860000000001</v>
      </c>
      <c r="Q75" s="43">
        <f t="shared" si="61"/>
        <v>2710.1229999999996</v>
      </c>
      <c r="R75" s="43">
        <f t="shared" si="61"/>
        <v>2450</v>
      </c>
      <c r="S75" s="43">
        <f t="shared" si="61"/>
        <v>2450</v>
      </c>
      <c r="T75" s="43">
        <f t="shared" si="61"/>
        <v>2450</v>
      </c>
      <c r="U75" s="43">
        <f t="shared" si="61"/>
        <v>2450</v>
      </c>
      <c r="V75" s="43">
        <f t="shared" si="61"/>
        <v>2450</v>
      </c>
      <c r="W75" s="43">
        <f t="shared" ref="W75" si="62">W6*(1+W11)^0</f>
        <v>2450</v>
      </c>
    </row>
    <row r="76" spans="1:23" x14ac:dyDescent="0.3">
      <c r="A76" s="14" t="s">
        <v>493</v>
      </c>
      <c r="B76" s="43">
        <f>B40*B7+(B48-B9)*B75-B42*(1+B35)^0</f>
        <v>146.4191506005053</v>
      </c>
      <c r="C76" s="43">
        <f>C40*C7+(C48-C9)*C75-C42*(1+C35)^0</f>
        <v>214.78496316874458</v>
      </c>
      <c r="D76" s="43">
        <f>D40*D7+(D48-D9)*D75-D42*(1+D35)^0</f>
        <v>284.15077573698386</v>
      </c>
      <c r="H76" s="43">
        <f t="shared" ref="H76:V76" si="63">H40*H7+(H48-H9)*H75-H42*(1+H35)^0</f>
        <v>214.78496316874458</v>
      </c>
      <c r="I76" s="43">
        <f t="shared" si="63"/>
        <v>214.78496316874458</v>
      </c>
      <c r="J76" s="43">
        <f t="shared" si="63"/>
        <v>214.78496316874458</v>
      </c>
      <c r="K76" s="43">
        <f t="shared" si="63"/>
        <v>214.78496316874458</v>
      </c>
      <c r="L76" s="43">
        <f t="shared" si="63"/>
        <v>214.78496316874458</v>
      </c>
      <c r="M76" s="43">
        <f t="shared" si="63"/>
        <v>214.78496316874458</v>
      </c>
      <c r="N76" s="43">
        <f t="shared" si="63"/>
        <v>214.78496316874458</v>
      </c>
      <c r="O76" s="43">
        <f t="shared" si="63"/>
        <v>214.78496316874458</v>
      </c>
      <c r="P76" s="43">
        <f t="shared" si="63"/>
        <v>192.84628620593935</v>
      </c>
      <c r="Q76" s="43">
        <f t="shared" si="63"/>
        <v>234.93493621949693</v>
      </c>
      <c r="R76" s="43">
        <f t="shared" si="63"/>
        <v>205.80605901436317</v>
      </c>
      <c r="S76" s="43">
        <f t="shared" si="63"/>
        <v>214.78496316874458</v>
      </c>
      <c r="T76" s="43">
        <f t="shared" si="63"/>
        <v>214.78496316874458</v>
      </c>
      <c r="U76" s="43">
        <f t="shared" si="63"/>
        <v>230.32775210865657</v>
      </c>
      <c r="V76" s="43">
        <f t="shared" si="63"/>
        <v>214.78496316874458</v>
      </c>
      <c r="W76" s="43">
        <f t="shared" ref="W76" si="64">W40*W7+(W48-W9)*W75-W42*(1+W35)^0</f>
        <v>216.72581509887971</v>
      </c>
    </row>
    <row r="77" spans="1:23" x14ac:dyDescent="0.3">
      <c r="A77" s="14" t="s">
        <v>494</v>
      </c>
      <c r="B77" s="43">
        <f>B76*(1-B10)</f>
        <v>130.31304403444972</v>
      </c>
      <c r="C77" s="43">
        <f>C76*(1-C10)</f>
        <v>195.45431648355756</v>
      </c>
      <c r="D77" s="43">
        <f>D76*(1-D10)</f>
        <v>261.41871367802514</v>
      </c>
      <c r="H77" s="43">
        <f t="shared" ref="H77:V77" si="65">H76*(1-H10)</f>
        <v>195.45431648355756</v>
      </c>
      <c r="I77" s="43">
        <f t="shared" si="65"/>
        <v>195.45431648355756</v>
      </c>
      <c r="J77" s="43">
        <f t="shared" si="65"/>
        <v>195.45431648355756</v>
      </c>
      <c r="K77" s="43">
        <f t="shared" si="65"/>
        <v>195.45431648355756</v>
      </c>
      <c r="L77" s="43">
        <f t="shared" si="65"/>
        <v>195.45431648355756</v>
      </c>
      <c r="M77" s="43">
        <f t="shared" si="65"/>
        <v>195.45431648355756</v>
      </c>
      <c r="N77" s="43">
        <f t="shared" si="65"/>
        <v>195.45431648355756</v>
      </c>
      <c r="O77" s="43">
        <f t="shared" si="65"/>
        <v>195.45431648355756</v>
      </c>
      <c r="P77" s="43">
        <f t="shared" si="65"/>
        <v>175.49012044740482</v>
      </c>
      <c r="Q77" s="43">
        <f t="shared" si="65"/>
        <v>213.79079195974222</v>
      </c>
      <c r="R77" s="43">
        <f t="shared" si="65"/>
        <v>187.2835137030705</v>
      </c>
      <c r="S77" s="43">
        <f t="shared" si="65"/>
        <v>195.45431648355756</v>
      </c>
      <c r="T77" s="43">
        <f t="shared" si="65"/>
        <v>195.45431648355756</v>
      </c>
      <c r="U77" s="43">
        <f t="shared" si="65"/>
        <v>209.59825441887747</v>
      </c>
      <c r="V77" s="43">
        <f t="shared" si="65"/>
        <v>195.45431648355756</v>
      </c>
      <c r="W77" s="43">
        <f t="shared" ref="W77" si="66">W76*(1-W10)</f>
        <v>197.22049173998053</v>
      </c>
    </row>
    <row r="78" spans="1:23" x14ac:dyDescent="0.3">
      <c r="A78" s="14" t="s">
        <v>495</v>
      </c>
      <c r="B78" s="43">
        <f>B11*B56*(1+B11)^0</f>
        <v>0</v>
      </c>
      <c r="C78" s="43">
        <f>C11*C56*(1+C11)^0</f>
        <v>13.897049999999997</v>
      </c>
      <c r="D78" s="43">
        <f>D11*D56*(1+D11)^0</f>
        <v>23.161749999999998</v>
      </c>
      <c r="H78" s="43">
        <f t="shared" ref="H78:V78" si="67">H11*H56*(1+H11)^0</f>
        <v>13.897049999999997</v>
      </c>
      <c r="I78" s="43">
        <f t="shared" si="67"/>
        <v>13.897049999999997</v>
      </c>
      <c r="J78" s="43">
        <f t="shared" si="67"/>
        <v>13.897049999999997</v>
      </c>
      <c r="K78" s="43">
        <f t="shared" si="67"/>
        <v>13.897049999999997</v>
      </c>
      <c r="L78" s="43">
        <f t="shared" si="67"/>
        <v>13.897049999999997</v>
      </c>
      <c r="M78" s="43">
        <f t="shared" si="67"/>
        <v>13.897049999999997</v>
      </c>
      <c r="N78" s="43">
        <f t="shared" si="67"/>
        <v>13.897049999999997</v>
      </c>
      <c r="O78" s="43">
        <f t="shared" si="67"/>
        <v>13.897049999999997</v>
      </c>
      <c r="P78" s="43">
        <f t="shared" si="67"/>
        <v>13.897049999999997</v>
      </c>
      <c r="Q78" s="43">
        <f t="shared" si="67"/>
        <v>13.897049999999997</v>
      </c>
      <c r="R78" s="43">
        <f t="shared" si="67"/>
        <v>13.897049999999997</v>
      </c>
      <c r="S78" s="43">
        <f t="shared" si="67"/>
        <v>13.897049999999997</v>
      </c>
      <c r="T78" s="43">
        <f t="shared" si="67"/>
        <v>13.897049999999997</v>
      </c>
      <c r="U78" s="43">
        <f t="shared" si="67"/>
        <v>13.897049999999997</v>
      </c>
      <c r="V78" s="43">
        <f t="shared" si="67"/>
        <v>13.897049999999997</v>
      </c>
      <c r="W78" s="43">
        <f t="shared" ref="W78" si="68">W11*W56*(1+W11)^0</f>
        <v>13.897049999999997</v>
      </c>
    </row>
    <row r="79" spans="1:23" x14ac:dyDescent="0.3">
      <c r="A79" s="9" t="s">
        <v>496</v>
      </c>
      <c r="B79" s="67">
        <f>B77*(1-B36)-B78</f>
        <v>117.28173963100475</v>
      </c>
      <c r="C79" s="67">
        <f>C77*(1-C36)-C78</f>
        <v>162.0118348352018</v>
      </c>
      <c r="D79" s="67">
        <f>D77*(1-D36)-D78</f>
        <v>212.11509231022262</v>
      </c>
      <c r="H79" s="67">
        <f t="shared" ref="H79:V79" si="69">H77*(1-H36)-H78</f>
        <v>162.0118348352018</v>
      </c>
      <c r="I79" s="67">
        <f t="shared" si="69"/>
        <v>162.0118348352018</v>
      </c>
      <c r="J79" s="67">
        <f t="shared" si="69"/>
        <v>162.0118348352018</v>
      </c>
      <c r="K79" s="67">
        <f t="shared" si="69"/>
        <v>162.0118348352018</v>
      </c>
      <c r="L79" s="67">
        <f t="shared" si="69"/>
        <v>162.0118348352018</v>
      </c>
      <c r="M79" s="67">
        <f t="shared" si="69"/>
        <v>162.0118348352018</v>
      </c>
      <c r="N79" s="67">
        <f t="shared" si="69"/>
        <v>162.0118348352018</v>
      </c>
      <c r="O79" s="67">
        <f t="shared" si="69"/>
        <v>162.0118348352018</v>
      </c>
      <c r="P79" s="67">
        <f t="shared" si="69"/>
        <v>144.04405840266435</v>
      </c>
      <c r="Q79" s="67">
        <f t="shared" si="69"/>
        <v>178.514662763768</v>
      </c>
      <c r="R79" s="67">
        <f t="shared" si="69"/>
        <v>154.65811233276344</v>
      </c>
      <c r="S79" s="67">
        <f t="shared" si="69"/>
        <v>162.0118348352018</v>
      </c>
      <c r="T79" s="67">
        <f t="shared" si="69"/>
        <v>162.0118348352018</v>
      </c>
      <c r="U79" s="67">
        <f t="shared" si="69"/>
        <v>174.74137897698972</v>
      </c>
      <c r="V79" s="67">
        <f t="shared" si="69"/>
        <v>162.0118348352018</v>
      </c>
      <c r="W79" s="67">
        <f t="shared" ref="W79" si="70">W77*(1-W36)-W78</f>
        <v>163.60139256598248</v>
      </c>
    </row>
    <row r="80" spans="1:23" x14ac:dyDescent="0.3">
      <c r="A80" s="14" t="s">
        <v>497</v>
      </c>
      <c r="B80" s="43">
        <f>B79/(1+B44)^1</f>
        <v>105.44643209289791</v>
      </c>
      <c r="C80" s="43">
        <f>C79/(1+C44)^1</f>
        <v>145.6626580910611</v>
      </c>
      <c r="D80" s="43">
        <f>D79/(1+D44)^1</f>
        <v>190.70982190014982</v>
      </c>
      <c r="H80" s="43">
        <f t="shared" ref="H80:V80" si="71">H79/(1+H44)^1</f>
        <v>145.6626580910611</v>
      </c>
      <c r="I80" s="43">
        <f t="shared" si="71"/>
        <v>145.6626580910611</v>
      </c>
      <c r="J80" s="43">
        <f t="shared" si="71"/>
        <v>145.6626580910611</v>
      </c>
      <c r="K80" s="43">
        <f t="shared" si="71"/>
        <v>145.6626580910611</v>
      </c>
      <c r="L80" s="43">
        <f t="shared" si="71"/>
        <v>145.6626580910611</v>
      </c>
      <c r="M80" s="43">
        <f t="shared" si="71"/>
        <v>144.91219573810537</v>
      </c>
      <c r="N80" s="43">
        <f t="shared" si="71"/>
        <v>144.11300020921703</v>
      </c>
      <c r="O80" s="43">
        <f t="shared" si="71"/>
        <v>145.6626580910611</v>
      </c>
      <c r="P80" s="43">
        <f t="shared" si="71"/>
        <v>129.50807236087928</v>
      </c>
      <c r="Q80" s="43">
        <f t="shared" si="71"/>
        <v>160.50012835698053</v>
      </c>
      <c r="R80" s="43">
        <f t="shared" si="71"/>
        <v>139.05102525782516</v>
      </c>
      <c r="S80" s="43">
        <f t="shared" si="71"/>
        <v>145.6626580910611</v>
      </c>
      <c r="T80" s="43">
        <f t="shared" si="71"/>
        <v>145.6626580910611</v>
      </c>
      <c r="U80" s="43">
        <f t="shared" si="71"/>
        <v>157.10761973763732</v>
      </c>
      <c r="V80" s="43">
        <f t="shared" si="71"/>
        <v>146.51097380647658</v>
      </c>
      <c r="W80" s="43">
        <f t="shared" ref="W80" si="72">W79/(1+W44)^1</f>
        <v>147.0918080324233</v>
      </c>
    </row>
    <row r="81" spans="1:23" x14ac:dyDescent="0.3">
      <c r="A81" s="14" t="s">
        <v>498</v>
      </c>
      <c r="B81" s="43">
        <f>B61</f>
        <v>780.67899999999997</v>
      </c>
      <c r="C81" s="43">
        <f>C61</f>
        <v>704.67899999999997</v>
      </c>
      <c r="D81" s="43">
        <f>D61</f>
        <v>704.67899999999997</v>
      </c>
      <c r="H81" s="43">
        <f t="shared" ref="H81:V81" si="73">H61</f>
        <v>704.67899999999997</v>
      </c>
      <c r="I81" s="43">
        <f t="shared" si="73"/>
        <v>704.67899999999997</v>
      </c>
      <c r="J81" s="43">
        <f t="shared" si="73"/>
        <v>704.67899999999997</v>
      </c>
      <c r="K81" s="43">
        <f t="shared" si="73"/>
        <v>704.67899999999997</v>
      </c>
      <c r="L81" s="43">
        <f t="shared" si="73"/>
        <v>704.67899999999997</v>
      </c>
      <c r="M81" s="43">
        <f t="shared" si="73"/>
        <v>704.67899999999997</v>
      </c>
      <c r="N81" s="43">
        <f t="shared" si="73"/>
        <v>704.67899999999997</v>
      </c>
      <c r="O81" s="43">
        <f t="shared" si="73"/>
        <v>704.67899999999997</v>
      </c>
      <c r="P81" s="43">
        <f t="shared" si="73"/>
        <v>704.67899999999997</v>
      </c>
      <c r="Q81" s="43">
        <f t="shared" si="73"/>
        <v>704.67899999999997</v>
      </c>
      <c r="R81" s="43">
        <f t="shared" si="73"/>
        <v>704.67899999999997</v>
      </c>
      <c r="S81" s="43">
        <f t="shared" si="73"/>
        <v>704.67899999999997</v>
      </c>
      <c r="T81" s="43">
        <f t="shared" si="73"/>
        <v>704.67899999999997</v>
      </c>
      <c r="U81" s="43">
        <f t="shared" si="73"/>
        <v>704.67899999999997</v>
      </c>
      <c r="V81" s="43">
        <f t="shared" si="73"/>
        <v>704.67899999999997</v>
      </c>
      <c r="W81" s="43">
        <f t="shared" ref="W81" si="74">W61</f>
        <v>704.67899999999997</v>
      </c>
    </row>
    <row r="82" spans="1:23" x14ac:dyDescent="0.3">
      <c r="A82" s="14" t="s">
        <v>499</v>
      </c>
      <c r="B82" s="43">
        <f>B69*(IF(B29-2027=1,0.5,0)+IF(B29-2027=2,0.5,0)+IF(AND(B29=2028,2027=2027),0.5,0))</f>
        <v>0</v>
      </c>
      <c r="C82" s="43">
        <f>C69*(IF(C29-2027=1,0.5,0)+IF(C29-2027=2,0.5,0)+IF(AND(C29=2028,2027=2027),0.5,0))</f>
        <v>0</v>
      </c>
      <c r="D82" s="43">
        <f>D69*(IF(D29-2027=1,0.5,0)+IF(D29-2027=2,0.5,0)+IF(AND(D29=2028,2027=2027),0.5,0))</f>
        <v>711.923</v>
      </c>
      <c r="H82" s="43">
        <f t="shared" ref="H82:V82" si="75">H69*(IF(H29-2027=1,0.5,0)+IF(H29-2027=2,0.5,0)+IF(AND(H29=2028,2027=2027),0.5,0))</f>
        <v>0</v>
      </c>
      <c r="I82" s="43">
        <f t="shared" si="75"/>
        <v>0</v>
      </c>
      <c r="J82" s="43">
        <f t="shared" si="75"/>
        <v>711.923</v>
      </c>
      <c r="K82" s="43">
        <f t="shared" si="75"/>
        <v>0</v>
      </c>
      <c r="L82" s="43">
        <f t="shared" si="75"/>
        <v>0</v>
      </c>
      <c r="M82" s="43">
        <f t="shared" si="75"/>
        <v>0</v>
      </c>
      <c r="N82" s="43">
        <f t="shared" si="75"/>
        <v>0</v>
      </c>
      <c r="O82" s="43">
        <f t="shared" si="75"/>
        <v>0</v>
      </c>
      <c r="P82" s="43">
        <f t="shared" si="75"/>
        <v>0</v>
      </c>
      <c r="Q82" s="43">
        <f t="shared" si="75"/>
        <v>0</v>
      </c>
      <c r="R82" s="43">
        <f t="shared" si="75"/>
        <v>0</v>
      </c>
      <c r="S82" s="43">
        <f t="shared" si="75"/>
        <v>0</v>
      </c>
      <c r="T82" s="43">
        <f t="shared" si="75"/>
        <v>0</v>
      </c>
      <c r="U82" s="43">
        <f t="shared" si="75"/>
        <v>0</v>
      </c>
      <c r="V82" s="43">
        <f t="shared" si="75"/>
        <v>0</v>
      </c>
      <c r="W82" s="43">
        <f t="shared" ref="W82" si="76">W69*(IF(W29-2027=1,0.5,0)+IF(W29-2027=2,0.5,0)+IF(AND(W29=2028,2027=2027),0.5,0))</f>
        <v>0</v>
      </c>
    </row>
    <row r="83" spans="1:23" x14ac:dyDescent="0.3">
      <c r="A83" s="14" t="s">
        <v>500</v>
      </c>
      <c r="B83" s="43">
        <f>B81+B82</f>
        <v>780.67899999999997</v>
      </c>
      <c r="C83" s="43">
        <f>C81+C82</f>
        <v>704.67899999999997</v>
      </c>
      <c r="D83" s="43">
        <f>D81+D82</f>
        <v>1416.6019999999999</v>
      </c>
      <c r="H83" s="43">
        <f t="shared" ref="H83:V83" si="77">H81+H82</f>
        <v>704.67899999999997</v>
      </c>
      <c r="I83" s="43">
        <f t="shared" si="77"/>
        <v>704.67899999999997</v>
      </c>
      <c r="J83" s="43">
        <f t="shared" si="77"/>
        <v>1416.6019999999999</v>
      </c>
      <c r="K83" s="43">
        <f t="shared" si="77"/>
        <v>704.67899999999997</v>
      </c>
      <c r="L83" s="43">
        <f t="shared" si="77"/>
        <v>704.67899999999997</v>
      </c>
      <c r="M83" s="43">
        <f t="shared" si="77"/>
        <v>704.67899999999997</v>
      </c>
      <c r="N83" s="43">
        <f t="shared" si="77"/>
        <v>704.67899999999997</v>
      </c>
      <c r="O83" s="43">
        <f t="shared" si="77"/>
        <v>704.67899999999997</v>
      </c>
      <c r="P83" s="43">
        <f t="shared" si="77"/>
        <v>704.67899999999997</v>
      </c>
      <c r="Q83" s="43">
        <f t="shared" si="77"/>
        <v>704.67899999999997</v>
      </c>
      <c r="R83" s="43">
        <f t="shared" si="77"/>
        <v>704.67899999999997</v>
      </c>
      <c r="S83" s="43">
        <f t="shared" si="77"/>
        <v>704.67899999999997</v>
      </c>
      <c r="T83" s="43">
        <f t="shared" si="77"/>
        <v>704.67899999999997</v>
      </c>
      <c r="U83" s="43">
        <f t="shared" si="77"/>
        <v>704.67899999999997</v>
      </c>
      <c r="V83" s="43">
        <f t="shared" si="77"/>
        <v>704.67899999999997</v>
      </c>
      <c r="W83" s="43">
        <f t="shared" ref="W83" si="78">W81+W82</f>
        <v>704.67899999999997</v>
      </c>
    </row>
    <row r="84" spans="1:23" x14ac:dyDescent="0.3">
      <c r="A84" s="14" t="s">
        <v>501</v>
      </c>
      <c r="B84" s="43">
        <f>B65*B20</f>
        <v>-1.2900000000000034</v>
      </c>
      <c r="C84" s="43">
        <f>C65*C20</f>
        <v>27.65</v>
      </c>
      <c r="D84" s="43">
        <f>D65*D20</f>
        <v>72.84</v>
      </c>
      <c r="H84" s="43">
        <f t="shared" ref="H84:V84" si="79">H65*H20</f>
        <v>27.65</v>
      </c>
      <c r="I84" s="43">
        <f t="shared" si="79"/>
        <v>27.65</v>
      </c>
      <c r="J84" s="43">
        <f t="shared" si="79"/>
        <v>27.65</v>
      </c>
      <c r="K84" s="43">
        <f t="shared" si="79"/>
        <v>11.899999999999999</v>
      </c>
      <c r="L84" s="43">
        <f t="shared" si="79"/>
        <v>17.649999999999999</v>
      </c>
      <c r="M84" s="43">
        <f t="shared" si="79"/>
        <v>27.65</v>
      </c>
      <c r="N84" s="43">
        <f t="shared" si="79"/>
        <v>27.65</v>
      </c>
      <c r="O84" s="43">
        <f t="shared" si="79"/>
        <v>27.65</v>
      </c>
      <c r="P84" s="43">
        <f t="shared" si="79"/>
        <v>27.65</v>
      </c>
      <c r="Q84" s="43">
        <f t="shared" si="79"/>
        <v>27.65</v>
      </c>
      <c r="R84" s="43">
        <f t="shared" si="79"/>
        <v>27.65</v>
      </c>
      <c r="S84" s="43">
        <f t="shared" si="79"/>
        <v>27.65</v>
      </c>
      <c r="T84" s="43">
        <f t="shared" si="79"/>
        <v>27.65</v>
      </c>
      <c r="U84" s="43">
        <f t="shared" si="79"/>
        <v>27.65</v>
      </c>
      <c r="V84" s="43">
        <f t="shared" si="79"/>
        <v>27.65</v>
      </c>
      <c r="W84" s="43">
        <f t="shared" ref="W84" si="80">W65*W20</f>
        <v>27.65</v>
      </c>
    </row>
    <row r="85" spans="1:23" x14ac:dyDescent="0.3">
      <c r="A85" s="14" t="s">
        <v>502</v>
      </c>
      <c r="B85" s="43">
        <f>B27*B30*IF(2027&gt;=B29,1,0)</f>
        <v>0</v>
      </c>
      <c r="C85" s="43">
        <f>C27*C30*IF(2027&gt;=C29,1,0)</f>
        <v>0</v>
      </c>
      <c r="D85" s="43">
        <f>D27*D30*IF(2027&gt;=D29,1,0)</f>
        <v>0</v>
      </c>
      <c r="H85" s="43">
        <f t="shared" ref="H85:V85" si="81">H27*H30*IF(2027&gt;=H29,1,0)</f>
        <v>0</v>
      </c>
      <c r="I85" s="43">
        <f t="shared" si="81"/>
        <v>0</v>
      </c>
      <c r="J85" s="43">
        <f t="shared" si="81"/>
        <v>0</v>
      </c>
      <c r="K85" s="43">
        <f t="shared" si="81"/>
        <v>0</v>
      </c>
      <c r="L85" s="43">
        <f t="shared" si="81"/>
        <v>0</v>
      </c>
      <c r="M85" s="43">
        <f t="shared" si="81"/>
        <v>0</v>
      </c>
      <c r="N85" s="43">
        <f t="shared" si="81"/>
        <v>0</v>
      </c>
      <c r="O85" s="43">
        <f t="shared" si="81"/>
        <v>0</v>
      </c>
      <c r="P85" s="43">
        <f t="shared" si="81"/>
        <v>0</v>
      </c>
      <c r="Q85" s="43">
        <f t="shared" si="81"/>
        <v>0</v>
      </c>
      <c r="R85" s="43">
        <f t="shared" si="81"/>
        <v>0</v>
      </c>
      <c r="S85" s="43">
        <f t="shared" si="81"/>
        <v>0</v>
      </c>
      <c r="T85" s="43">
        <f t="shared" si="81"/>
        <v>0</v>
      </c>
      <c r="U85" s="43">
        <f t="shared" si="81"/>
        <v>0</v>
      </c>
      <c r="V85" s="43">
        <f t="shared" si="81"/>
        <v>0</v>
      </c>
      <c r="W85" s="43">
        <f t="shared" ref="W85" si="82">W27*W30*IF(2027&gt;=W29,1,0)</f>
        <v>0</v>
      </c>
    </row>
    <row r="86" spans="1:23" x14ac:dyDescent="0.3">
      <c r="A86" s="14" t="s">
        <v>503</v>
      </c>
      <c r="B86" s="43">
        <f>B84+B85</f>
        <v>-1.2900000000000034</v>
      </c>
      <c r="C86" s="43">
        <f>C84+C85</f>
        <v>27.65</v>
      </c>
      <c r="D86" s="43">
        <f>D84+D85</f>
        <v>72.84</v>
      </c>
      <c r="H86" s="43">
        <f t="shared" ref="H86:V86" si="83">H84+H85</f>
        <v>27.65</v>
      </c>
      <c r="I86" s="43">
        <f t="shared" si="83"/>
        <v>27.65</v>
      </c>
      <c r="J86" s="43">
        <f t="shared" si="83"/>
        <v>27.65</v>
      </c>
      <c r="K86" s="43">
        <f t="shared" si="83"/>
        <v>11.899999999999999</v>
      </c>
      <c r="L86" s="43">
        <f t="shared" si="83"/>
        <v>17.649999999999999</v>
      </c>
      <c r="M86" s="43">
        <f t="shared" si="83"/>
        <v>27.65</v>
      </c>
      <c r="N86" s="43">
        <f t="shared" si="83"/>
        <v>27.65</v>
      </c>
      <c r="O86" s="43">
        <f t="shared" si="83"/>
        <v>27.65</v>
      </c>
      <c r="P86" s="43">
        <f t="shared" si="83"/>
        <v>27.65</v>
      </c>
      <c r="Q86" s="43">
        <f t="shared" si="83"/>
        <v>27.65</v>
      </c>
      <c r="R86" s="43">
        <f t="shared" si="83"/>
        <v>27.65</v>
      </c>
      <c r="S86" s="43">
        <f t="shared" si="83"/>
        <v>27.65</v>
      </c>
      <c r="T86" s="43">
        <f t="shared" si="83"/>
        <v>27.65</v>
      </c>
      <c r="U86" s="43">
        <f t="shared" si="83"/>
        <v>27.65</v>
      </c>
      <c r="V86" s="43">
        <f t="shared" si="83"/>
        <v>27.65</v>
      </c>
      <c r="W86" s="43">
        <f t="shared" ref="W86" si="84">W84+W85</f>
        <v>27.65</v>
      </c>
    </row>
    <row r="87" spans="1:23" x14ac:dyDescent="0.3">
      <c r="A87" s="14" t="s">
        <v>504</v>
      </c>
      <c r="B87" s="43">
        <f>B66*B20-B36*B84-B81</f>
        <v>-773.43999999999994</v>
      </c>
      <c r="C87" s="43">
        <f>C66*C20-C36*C84-C81</f>
        <v>-667.69399999999996</v>
      </c>
      <c r="D87" s="43">
        <f>D66*D20-D36*D84-D81</f>
        <v>-624.60299999999995</v>
      </c>
      <c r="H87" s="43">
        <f t="shared" ref="H87:V87" si="85">H66*H20-H36*H84-H81</f>
        <v>-667.69399999999996</v>
      </c>
      <c r="I87" s="43">
        <f t="shared" si="85"/>
        <v>-667.69399999999996</v>
      </c>
      <c r="J87" s="43">
        <f t="shared" si="85"/>
        <v>-667.69399999999996</v>
      </c>
      <c r="K87" s="43">
        <f t="shared" si="85"/>
        <v>-681.86900000000003</v>
      </c>
      <c r="L87" s="43">
        <f t="shared" si="85"/>
        <v>-676.69399999999996</v>
      </c>
      <c r="M87" s="43">
        <f t="shared" si="85"/>
        <v>-667.69399999999996</v>
      </c>
      <c r="N87" s="43">
        <f t="shared" si="85"/>
        <v>-667.69399999999996</v>
      </c>
      <c r="O87" s="43">
        <f t="shared" si="85"/>
        <v>-667.69399999999996</v>
      </c>
      <c r="P87" s="43">
        <f t="shared" si="85"/>
        <v>-667.69399999999996</v>
      </c>
      <c r="Q87" s="43">
        <f t="shared" si="85"/>
        <v>-667.69399999999996</v>
      </c>
      <c r="R87" s="43">
        <f t="shared" si="85"/>
        <v>-667.69399999999996</v>
      </c>
      <c r="S87" s="43">
        <f t="shared" si="85"/>
        <v>-667.69399999999996</v>
      </c>
      <c r="T87" s="43">
        <f t="shared" si="85"/>
        <v>-667.69399999999996</v>
      </c>
      <c r="U87" s="43">
        <f t="shared" si="85"/>
        <v>-667.69399999999996</v>
      </c>
      <c r="V87" s="43">
        <f t="shared" si="85"/>
        <v>-667.69399999999996</v>
      </c>
      <c r="W87" s="43">
        <f t="shared" ref="W87" si="86">W66*W20-W36*W84-W81</f>
        <v>-667.69399999999996</v>
      </c>
    </row>
    <row r="88" spans="1:23" x14ac:dyDescent="0.3">
      <c r="A88" s="14" t="s">
        <v>505</v>
      </c>
      <c r="B88" s="43">
        <f>B85*(1-B36)-B82</f>
        <v>0</v>
      </c>
      <c r="C88" s="43">
        <f>C85*(1-C36)-C82</f>
        <v>0</v>
      </c>
      <c r="D88" s="43">
        <f>D85*(1-D36)-D82</f>
        <v>-711.923</v>
      </c>
      <c r="H88" s="43">
        <f t="shared" ref="H88:V88" si="87">H85*(1-H36)-H82</f>
        <v>0</v>
      </c>
      <c r="I88" s="43">
        <f t="shared" si="87"/>
        <v>0</v>
      </c>
      <c r="J88" s="43">
        <f t="shared" si="87"/>
        <v>-711.923</v>
      </c>
      <c r="K88" s="43">
        <f t="shared" si="87"/>
        <v>0</v>
      </c>
      <c r="L88" s="43">
        <f t="shared" si="87"/>
        <v>0</v>
      </c>
      <c r="M88" s="43">
        <f t="shared" si="87"/>
        <v>0</v>
      </c>
      <c r="N88" s="43">
        <f t="shared" si="87"/>
        <v>0</v>
      </c>
      <c r="O88" s="43">
        <f t="shared" si="87"/>
        <v>0</v>
      </c>
      <c r="P88" s="43">
        <f t="shared" si="87"/>
        <v>0</v>
      </c>
      <c r="Q88" s="43">
        <f t="shared" si="87"/>
        <v>0</v>
      </c>
      <c r="R88" s="43">
        <f t="shared" si="87"/>
        <v>0</v>
      </c>
      <c r="S88" s="43">
        <f t="shared" si="87"/>
        <v>0</v>
      </c>
      <c r="T88" s="43">
        <f t="shared" si="87"/>
        <v>0</v>
      </c>
      <c r="U88" s="43">
        <f t="shared" si="87"/>
        <v>0</v>
      </c>
      <c r="V88" s="43">
        <f t="shared" si="87"/>
        <v>0</v>
      </c>
      <c r="W88" s="43">
        <f t="shared" ref="W88" si="88">W85*(1-W36)-W82</f>
        <v>0</v>
      </c>
    </row>
    <row r="89" spans="1:23" x14ac:dyDescent="0.3">
      <c r="A89" s="14" t="s">
        <v>506</v>
      </c>
      <c r="B89" s="43">
        <f>B87/(1+B45)^1</f>
        <v>-687.99146059420025</v>
      </c>
      <c r="C89" s="43">
        <f>C87/(1+C45)^1</f>
        <v>-593.92812666785267</v>
      </c>
      <c r="D89" s="43">
        <f>D87/(1+D45)^1</f>
        <v>-555.59775840597752</v>
      </c>
      <c r="H89" s="43">
        <f t="shared" ref="H89:V89" si="89">H87/(1+H45)^1</f>
        <v>-593.92812666785267</v>
      </c>
      <c r="I89" s="43">
        <f t="shared" si="89"/>
        <v>-593.92812666785267</v>
      </c>
      <c r="J89" s="43">
        <f t="shared" si="89"/>
        <v>-593.92812666785267</v>
      </c>
      <c r="K89" s="43">
        <f t="shared" si="89"/>
        <v>-606.53709304394238</v>
      </c>
      <c r="L89" s="43">
        <f t="shared" si="89"/>
        <v>-601.93381960505235</v>
      </c>
      <c r="M89" s="43">
        <f t="shared" si="89"/>
        <v>-590.35720601237836</v>
      </c>
      <c r="N89" s="43">
        <f t="shared" si="89"/>
        <v>-593.92812666785267</v>
      </c>
      <c r="O89" s="43">
        <f t="shared" si="89"/>
        <v>-593.92812666785267</v>
      </c>
      <c r="P89" s="43">
        <f t="shared" si="89"/>
        <v>-593.92812666785267</v>
      </c>
      <c r="Q89" s="43">
        <f t="shared" si="89"/>
        <v>-593.92812666785267</v>
      </c>
      <c r="R89" s="43">
        <f t="shared" si="89"/>
        <v>-593.92812666785267</v>
      </c>
      <c r="S89" s="43">
        <f t="shared" si="89"/>
        <v>-593.92812666785267</v>
      </c>
      <c r="T89" s="43">
        <f t="shared" si="89"/>
        <v>-593.92812666785267</v>
      </c>
      <c r="U89" s="43">
        <f t="shared" si="89"/>
        <v>-593.92812666785267</v>
      </c>
      <c r="V89" s="43">
        <f t="shared" si="89"/>
        <v>-593.92812666785267</v>
      </c>
      <c r="W89" s="43">
        <f t="shared" ref="W89" si="90">W87/(1+W45)^1</f>
        <v>-593.92812666785267</v>
      </c>
    </row>
    <row r="90" spans="1:23" x14ac:dyDescent="0.3">
      <c r="A90" s="14" t="s">
        <v>507</v>
      </c>
      <c r="B90" s="43">
        <f>B88/(1+B45)^1</f>
        <v>0</v>
      </c>
      <c r="C90" s="43">
        <f>C88/(1+C45)^1</f>
        <v>0</v>
      </c>
      <c r="D90" s="43">
        <f>D88/(1+D45)^1</f>
        <v>-633.27077032556485</v>
      </c>
      <c r="H90" s="43">
        <f t="shared" ref="H90:V90" si="91">H88/(1+H45)^1</f>
        <v>0</v>
      </c>
      <c r="I90" s="43">
        <f t="shared" si="91"/>
        <v>0</v>
      </c>
      <c r="J90" s="43">
        <f t="shared" si="91"/>
        <v>-633.27077032556485</v>
      </c>
      <c r="K90" s="43">
        <f t="shared" si="91"/>
        <v>0</v>
      </c>
      <c r="L90" s="43">
        <f t="shared" si="91"/>
        <v>0</v>
      </c>
      <c r="M90" s="43">
        <f t="shared" si="91"/>
        <v>0</v>
      </c>
      <c r="N90" s="43">
        <f t="shared" si="91"/>
        <v>0</v>
      </c>
      <c r="O90" s="43">
        <f t="shared" si="91"/>
        <v>0</v>
      </c>
      <c r="P90" s="43">
        <f t="shared" si="91"/>
        <v>0</v>
      </c>
      <c r="Q90" s="43">
        <f t="shared" si="91"/>
        <v>0</v>
      </c>
      <c r="R90" s="43">
        <f t="shared" si="91"/>
        <v>0</v>
      </c>
      <c r="S90" s="43">
        <f t="shared" si="91"/>
        <v>0</v>
      </c>
      <c r="T90" s="43">
        <f t="shared" si="91"/>
        <v>0</v>
      </c>
      <c r="U90" s="43">
        <f t="shared" si="91"/>
        <v>0</v>
      </c>
      <c r="V90" s="43">
        <f t="shared" si="91"/>
        <v>0</v>
      </c>
      <c r="W90" s="43">
        <f t="shared" ref="W90" si="92">W88/(1+W45)^1</f>
        <v>0</v>
      </c>
    </row>
    <row r="91" spans="1:23" x14ac:dyDescent="0.3">
      <c r="A91" s="14" t="s">
        <v>508</v>
      </c>
      <c r="B91" s="27">
        <f>IF('01_Số liệu gốc'!$C$65&gt;0,B16,B38)*'01_Số liệu gốc'!$C$65</f>
        <v>90.904904999999999</v>
      </c>
      <c r="C91" s="27">
        <f>IF('01_Số liệu gốc'!$C$65&gt;0,C16,C38)*'01_Số liệu gốc'!$C$65</f>
        <v>97.897590000000008</v>
      </c>
      <c r="D91" s="27">
        <f>IF('01_Số liệu gốc'!$C$65&gt;0,D16,D38)*'01_Số liệu gốc'!$C$65</f>
        <v>104.890275</v>
      </c>
      <c r="H91" s="27">
        <f>IF('01_Số liệu gốc'!$C$65&gt;0,H16,H38)*'01_Số liệu gốc'!$C$65</f>
        <v>97.897590000000008</v>
      </c>
      <c r="I91" s="27">
        <f>IF('01_Số liệu gốc'!$C$65&gt;0,I16,I38)*'01_Số liệu gốc'!$C$65</f>
        <v>97.897590000000008</v>
      </c>
      <c r="J91" s="27">
        <f>IF('01_Số liệu gốc'!$C$65&gt;0,J16,J38)*'01_Số liệu gốc'!$C$65</f>
        <v>97.897590000000008</v>
      </c>
      <c r="K91" s="27">
        <f>IF('01_Số liệu gốc'!$C$65&gt;0,K16,K38)*'01_Số liệu gốc'!$C$65</f>
        <v>97.897590000000008</v>
      </c>
      <c r="L91" s="27">
        <f>IF('01_Số liệu gốc'!$C$65&gt;0,L16,L38)*'01_Số liệu gốc'!$C$65</f>
        <v>97.897590000000008</v>
      </c>
      <c r="M91" s="27">
        <f>IF('01_Số liệu gốc'!$C$65&gt;0,M16,M38)*'01_Số liệu gốc'!$C$65</f>
        <v>97.897590000000008</v>
      </c>
      <c r="N91" s="27">
        <f>IF('01_Số liệu gốc'!$C$65&gt;0,N16,N38)*'01_Số liệu gốc'!$C$65</f>
        <v>97.897590000000008</v>
      </c>
      <c r="O91" s="27">
        <f>IF('01_Số liệu gốc'!$C$65&gt;0,O16,O38)*'01_Số liệu gốc'!$C$65</f>
        <v>97.897590000000008</v>
      </c>
      <c r="P91" s="27">
        <f>IF('01_Số liệu gốc'!$C$65&gt;0,P16,P38)*'01_Số liệu gốc'!$C$65</f>
        <v>97.897590000000008</v>
      </c>
      <c r="Q91" s="27">
        <f>IF('01_Số liệu gốc'!$C$65&gt;0,Q16,Q38)*'01_Số liệu gốc'!$C$65</f>
        <v>97.897590000000008</v>
      </c>
      <c r="R91" s="27">
        <f>IF('01_Số liệu gốc'!$C$65&gt;0,R16,R38)*'01_Số liệu gốc'!$C$65</f>
        <v>97.897590000000008</v>
      </c>
      <c r="S91" s="27">
        <f>IF('01_Số liệu gốc'!$C$65&gt;0,S16,S38)*'01_Số liệu gốc'!$C$65</f>
        <v>97.897590000000008</v>
      </c>
      <c r="T91" s="27">
        <f>IF('01_Số liệu gốc'!$C$65&gt;0,T16,T38)*'01_Số liệu gốc'!$C$65</f>
        <v>97.897590000000008</v>
      </c>
      <c r="U91" s="27">
        <f>IF('01_Số liệu gốc'!$C$65&gt;0,U16,U38)*'01_Số liệu gốc'!$C$65</f>
        <v>97.897590000000008</v>
      </c>
      <c r="V91" s="27">
        <f>IF('01_Số liệu gốc'!$C$65&gt;0,V16,V38)*'01_Số liệu gốc'!$C$65</f>
        <v>97.897590000000008</v>
      </c>
      <c r="W91" s="27">
        <f>IF('01_Số liệu gốc'!$C$65&gt;0,W16,W38)*'01_Số liệu gốc'!$C$65</f>
        <v>97.897590000000008</v>
      </c>
    </row>
    <row r="92" spans="1:23" x14ac:dyDescent="0.3">
      <c r="A92" s="14" t="s">
        <v>509</v>
      </c>
      <c r="B92" s="43">
        <f>B77+B86+B91*(1-B37)</f>
        <v>201.74696803444971</v>
      </c>
      <c r="C92" s="43">
        <f>C77+C86+C91*(1-C37)</f>
        <v>301.4223884835576</v>
      </c>
      <c r="D92" s="43">
        <f>D77+D86+D91*(1-D37)</f>
        <v>418.17093367802516</v>
      </c>
      <c r="H92" s="43">
        <f t="shared" ref="H92:V92" si="93">H77+H86+H91*(1-H37)</f>
        <v>301.4223884835576</v>
      </c>
      <c r="I92" s="43">
        <f t="shared" si="93"/>
        <v>301.4223884835576</v>
      </c>
      <c r="J92" s="43">
        <f t="shared" si="93"/>
        <v>301.4223884835576</v>
      </c>
      <c r="K92" s="43">
        <f t="shared" si="93"/>
        <v>285.6723884835576</v>
      </c>
      <c r="L92" s="43">
        <f t="shared" si="93"/>
        <v>291.4223884835576</v>
      </c>
      <c r="M92" s="43">
        <f t="shared" si="93"/>
        <v>301.4223884835576</v>
      </c>
      <c r="N92" s="43">
        <f t="shared" si="93"/>
        <v>301.4223884835576</v>
      </c>
      <c r="O92" s="43">
        <f t="shared" si="93"/>
        <v>301.4223884835576</v>
      </c>
      <c r="P92" s="43">
        <f t="shared" si="93"/>
        <v>281.45819244740483</v>
      </c>
      <c r="Q92" s="43">
        <f t="shared" si="93"/>
        <v>319.75886395974226</v>
      </c>
      <c r="R92" s="43">
        <f t="shared" si="93"/>
        <v>293.25158570307053</v>
      </c>
      <c r="S92" s="43">
        <f t="shared" si="93"/>
        <v>301.4223884835576</v>
      </c>
      <c r="T92" s="43">
        <f t="shared" si="93"/>
        <v>301.4223884835576</v>
      </c>
      <c r="U92" s="43">
        <f t="shared" si="93"/>
        <v>315.56632641887751</v>
      </c>
      <c r="V92" s="43">
        <f t="shared" si="93"/>
        <v>301.4223884835576</v>
      </c>
      <c r="W92" s="43">
        <f t="shared" ref="W92" si="94">W77+W86+W91*(1-W37)</f>
        <v>303.18856373998057</v>
      </c>
    </row>
    <row r="93" spans="1:23" x14ac:dyDescent="0.3">
      <c r="A93" s="14" t="s">
        <v>510</v>
      </c>
      <c r="B93" s="27">
        <f>B15*'01_Số liệu gốc'!$B$8/1000</f>
        <v>110</v>
      </c>
      <c r="C93" s="27">
        <f>C15*'01_Số liệu gốc'!$B$8/1000</f>
        <v>165</v>
      </c>
      <c r="D93" s="27">
        <f>D15*'01_Số liệu gốc'!$B$8/1000</f>
        <v>220</v>
      </c>
      <c r="H93" s="27">
        <f>H15*'01_Số liệu gốc'!$B$8/1000</f>
        <v>165</v>
      </c>
      <c r="I93" s="27">
        <f>I15*'01_Số liệu gốc'!$B$8/1000</f>
        <v>165</v>
      </c>
      <c r="J93" s="27">
        <f>J15*'01_Số liệu gốc'!$B$8/1000</f>
        <v>165</v>
      </c>
      <c r="K93" s="27">
        <f>K15*'01_Số liệu gốc'!$B$8/1000</f>
        <v>165</v>
      </c>
      <c r="L93" s="27">
        <f>L15*'01_Số liệu gốc'!$B$8/1000</f>
        <v>165</v>
      </c>
      <c r="M93" s="27">
        <f>M15*'01_Số liệu gốc'!$B$8/1000</f>
        <v>165</v>
      </c>
      <c r="N93" s="27">
        <f>N15*'01_Số liệu gốc'!$B$8/1000</f>
        <v>165</v>
      </c>
      <c r="O93" s="27">
        <f>O15*'01_Số liệu gốc'!$B$8/1000</f>
        <v>110</v>
      </c>
      <c r="P93" s="27">
        <f>P15*'01_Số liệu gốc'!$B$8/1000</f>
        <v>165</v>
      </c>
      <c r="Q93" s="27">
        <f>Q15*'01_Số liệu gốc'!$B$8/1000</f>
        <v>165</v>
      </c>
      <c r="R93" s="27">
        <f>R15*'01_Số liệu gốc'!$B$8/1000</f>
        <v>165</v>
      </c>
      <c r="S93" s="27">
        <f>S15*'01_Số liệu gốc'!$B$8/1000</f>
        <v>165</v>
      </c>
      <c r="T93" s="27">
        <f>T15*'01_Số liệu gốc'!$B$8/1000</f>
        <v>165</v>
      </c>
      <c r="U93" s="27">
        <f>U15*'01_Số liệu gốc'!$B$8/1000</f>
        <v>165</v>
      </c>
      <c r="V93" s="27">
        <f>V15*'01_Số liệu gốc'!$B$8/1000</f>
        <v>165</v>
      </c>
      <c r="W93" s="27">
        <f>W15*'01_Số liệu gốc'!$B$8/1000</f>
        <v>165</v>
      </c>
    </row>
    <row r="94" spans="1:23" x14ac:dyDescent="0.3">
      <c r="A94" s="14" t="s">
        <v>511</v>
      </c>
      <c r="B94" s="43">
        <f>(B64-B24)*B20</f>
        <v>8.4</v>
      </c>
      <c r="C94" s="43">
        <f>(C64-C24)*C20</f>
        <v>12.100000000000001</v>
      </c>
      <c r="D94" s="43">
        <f>(D64-D24)*D20</f>
        <v>14.520000000000001</v>
      </c>
      <c r="H94" s="43">
        <f t="shared" ref="H94:V94" si="95">(H64-H24)*H20</f>
        <v>12.100000000000001</v>
      </c>
      <c r="I94" s="43">
        <f t="shared" si="95"/>
        <v>12.100000000000001</v>
      </c>
      <c r="J94" s="43">
        <f t="shared" si="95"/>
        <v>12.100000000000001</v>
      </c>
      <c r="K94" s="43">
        <f t="shared" si="95"/>
        <v>12.100000000000001</v>
      </c>
      <c r="L94" s="43">
        <f t="shared" si="95"/>
        <v>12.100000000000001</v>
      </c>
      <c r="M94" s="43">
        <f t="shared" si="95"/>
        <v>12.100000000000001</v>
      </c>
      <c r="N94" s="43">
        <f t="shared" si="95"/>
        <v>12.100000000000001</v>
      </c>
      <c r="O94" s="43">
        <f t="shared" si="95"/>
        <v>12.100000000000001</v>
      </c>
      <c r="P94" s="43">
        <f t="shared" si="95"/>
        <v>12.100000000000001</v>
      </c>
      <c r="Q94" s="43">
        <f t="shared" si="95"/>
        <v>12.100000000000001</v>
      </c>
      <c r="R94" s="43">
        <f t="shared" si="95"/>
        <v>12.100000000000001</v>
      </c>
      <c r="S94" s="43">
        <f t="shared" si="95"/>
        <v>12.100000000000001</v>
      </c>
      <c r="T94" s="43">
        <f t="shared" si="95"/>
        <v>12.100000000000001</v>
      </c>
      <c r="U94" s="43">
        <f t="shared" si="95"/>
        <v>12.100000000000001</v>
      </c>
      <c r="V94" s="43">
        <f t="shared" si="95"/>
        <v>12.100000000000001</v>
      </c>
      <c r="W94" s="43">
        <f t="shared" ref="W94" si="96">(W64-W24)*W20</f>
        <v>12.100000000000001</v>
      </c>
    </row>
    <row r="95" spans="1:23" x14ac:dyDescent="0.3">
      <c r="A95" s="9" t="s">
        <v>512</v>
      </c>
      <c r="B95" s="70">
        <f>'01_Số liệu gốc'!$C$65+B92*(1-B36)-B93-B83-B78+B94</f>
        <v>697.83027123100487</v>
      </c>
      <c r="C95" s="70">
        <f>'01_Số liệu gốc'!$C$65+C92*(1-C36)-C93-C83-C78+C94</f>
        <v>798.341099635202</v>
      </c>
      <c r="D95" s="70">
        <f>'01_Số liệu gốc'!$C$65+D92*(1-D36)-D93-D83-D78+D94</f>
        <v>129.64709031022289</v>
      </c>
      <c r="H95" s="70">
        <f>'01_Số liệu gốc'!$C$65+H92*(1-H36)-H93-H83-H78+H94</f>
        <v>798.341099635202</v>
      </c>
      <c r="I95" s="70">
        <f>'01_Số liệu gốc'!$C$65+I92*(1-I36)-I93-I83-I78+I94</f>
        <v>798.341099635202</v>
      </c>
      <c r="J95" s="70">
        <f>'01_Số liệu gốc'!$C$65+J92*(1-J36)-J93-J83-J78+J94</f>
        <v>86.41809963520214</v>
      </c>
      <c r="K95" s="70">
        <f>'01_Số liệu gốc'!$C$65+K92*(1-K36)-K93-K83-K78+K94</f>
        <v>784.16609963520182</v>
      </c>
      <c r="L95" s="70">
        <f>'01_Số liệu gốc'!$C$65+L92*(1-L36)-L93-L83-L78+L94</f>
        <v>789.341099635202</v>
      </c>
      <c r="M95" s="70">
        <f>'01_Số liệu gốc'!$C$65+M92*(1-M36)-M93-M83-M78+M94</f>
        <v>798.341099635202</v>
      </c>
      <c r="N95" s="70">
        <f>'01_Số liệu gốc'!$C$65+N92*(1-N36)-N93-N83-N78+N94</f>
        <v>798.341099635202</v>
      </c>
      <c r="O95" s="70">
        <f>'01_Số liệu gốc'!$C$65+O92*(1-O36)-O93-O83-O78+O94</f>
        <v>853.341099635202</v>
      </c>
      <c r="P95" s="70">
        <f>'01_Số liệu gốc'!$C$65+P92*(1-P36)-P93-P83-P78+P94</f>
        <v>780.37332320266432</v>
      </c>
      <c r="Q95" s="70">
        <f>'01_Số liệu gốc'!$C$65+Q92*(1-Q36)-Q93-Q83-Q78+Q94</f>
        <v>814.84392756376815</v>
      </c>
      <c r="R95" s="70">
        <f>'01_Số liệu gốc'!$C$65+R92*(1-R36)-R93-R83-R78+R94</f>
        <v>790.98737713276364</v>
      </c>
      <c r="S95" s="70">
        <f>'01_Số liệu gốc'!$C$65+S92*(1-S36)-S93-S83-S78+S94</f>
        <v>798.341099635202</v>
      </c>
      <c r="T95" s="70">
        <f>'01_Số liệu gốc'!$C$65+T92*(1-T36)-T93-T83-T78+T94</f>
        <v>798.341099635202</v>
      </c>
      <c r="U95" s="70">
        <f>'01_Số liệu gốc'!$C$65+U92*(1-U36)-U93-U83-U78+U94</f>
        <v>811.07064377698975</v>
      </c>
      <c r="V95" s="70">
        <f>'01_Số liệu gốc'!$C$65+V92*(1-V36)-V93-V83-V78+V94</f>
        <v>798.341099635202</v>
      </c>
      <c r="W95" s="70">
        <f>'01_Số liệu gốc'!$C$65+W92*(1-W36)-W93-W83-W78+W94</f>
        <v>799.9306573659826</v>
      </c>
    </row>
    <row r="96" spans="1:23" x14ac:dyDescent="0.3">
      <c r="A96" s="14" t="s">
        <v>513</v>
      </c>
      <c r="B96" s="27">
        <f>'01_Số liệu gốc'!$C$66+B92*(1-B36)-B93</f>
        <v>2392.6612712310048</v>
      </c>
      <c r="C96" s="27">
        <f>'01_Số liệu gốc'!$C$66+C92*(1-C36)-C93</f>
        <v>2427.3691496352017</v>
      </c>
      <c r="D96" s="27">
        <f>'01_Số liệu gốc'!$C$66+D92*(1-D36)-D93</f>
        <v>2477.4428403102224</v>
      </c>
      <c r="H96" s="27">
        <f>'01_Số liệu gốc'!$C$66+H92*(1-H36)-H93</f>
        <v>2427.3691496352017</v>
      </c>
      <c r="I96" s="27">
        <f>'01_Số liệu gốc'!$C$66+I92*(1-I36)-I93</f>
        <v>2427.3691496352017</v>
      </c>
      <c r="J96" s="27">
        <f>'01_Số liệu gốc'!$C$66+J92*(1-J36)-J93</f>
        <v>2427.3691496352017</v>
      </c>
      <c r="K96" s="27">
        <f>'01_Số liệu gốc'!$C$66+K92*(1-K36)-K93</f>
        <v>2413.1941496352019</v>
      </c>
      <c r="L96" s="27">
        <f>'01_Số liệu gốc'!$C$66+L92*(1-L36)-L93</f>
        <v>2418.3691496352017</v>
      </c>
      <c r="M96" s="27">
        <f>'01_Số liệu gốc'!$C$66+M92*(1-M36)-M93</f>
        <v>2427.3691496352017</v>
      </c>
      <c r="N96" s="27">
        <f>'01_Số liệu gốc'!$C$66+N92*(1-N36)-N93</f>
        <v>2427.3691496352017</v>
      </c>
      <c r="O96" s="27">
        <f>'01_Số liệu gốc'!$C$66+O92*(1-O36)-O93</f>
        <v>2482.3691496352017</v>
      </c>
      <c r="P96" s="27">
        <f>'01_Số liệu gốc'!$C$66+P92*(1-P36)-P93</f>
        <v>2409.4013732026642</v>
      </c>
      <c r="Q96" s="27">
        <f>'01_Số liệu gốc'!$C$66+Q92*(1-Q36)-Q93</f>
        <v>2443.8719775637678</v>
      </c>
      <c r="R96" s="27">
        <f>'01_Số liệu gốc'!$C$66+R92*(1-R36)-R93</f>
        <v>2420.0154271327633</v>
      </c>
      <c r="S96" s="27">
        <f>'01_Số liệu gốc'!$C$66+S92*(1-S36)-S93</f>
        <v>2427.3691496352017</v>
      </c>
      <c r="T96" s="27">
        <f>'01_Số liệu gốc'!$C$66+T92*(1-T36)-T93</f>
        <v>2427.3691496352017</v>
      </c>
      <c r="U96" s="27">
        <f>'01_Số liệu gốc'!$C$66+U92*(1-U36)-U93</f>
        <v>2440.0986937769899</v>
      </c>
      <c r="V96" s="27">
        <f>'01_Số liệu gốc'!$C$66+V92*(1-V36)-V93</f>
        <v>2427.3691496352017</v>
      </c>
      <c r="W96" s="27">
        <f>'01_Số liệu gốc'!$C$66+W92*(1-W36)-W93</f>
        <v>2428.9587073659823</v>
      </c>
    </row>
    <row r="97" spans="1:23" x14ac:dyDescent="0.3">
      <c r="A97" s="14" t="s">
        <v>514</v>
      </c>
      <c r="B97" s="43">
        <f>B93/(1+B44)^1</f>
        <v>98.899518089620955</v>
      </c>
      <c r="C97" s="43">
        <f>C93/(1+C44)^1</f>
        <v>148.34927713443142</v>
      </c>
      <c r="D97" s="43">
        <f>D93/(1+D44)^1</f>
        <v>197.79903617924191</v>
      </c>
      <c r="H97" s="43">
        <f t="shared" ref="H97:V97" si="97">H93/(1+H44)^1</f>
        <v>148.34927713443142</v>
      </c>
      <c r="I97" s="43">
        <f t="shared" si="97"/>
        <v>148.34927713443142</v>
      </c>
      <c r="J97" s="43">
        <f t="shared" si="97"/>
        <v>148.34927713443142</v>
      </c>
      <c r="K97" s="43">
        <f t="shared" si="97"/>
        <v>148.34927713443142</v>
      </c>
      <c r="L97" s="43">
        <f t="shared" si="97"/>
        <v>148.34927713443142</v>
      </c>
      <c r="M97" s="43">
        <f t="shared" si="97"/>
        <v>147.58497316636854</v>
      </c>
      <c r="N97" s="43">
        <f t="shared" si="97"/>
        <v>146.77103718199606</v>
      </c>
      <c r="O97" s="43">
        <f t="shared" si="97"/>
        <v>98.899518089620955</v>
      </c>
      <c r="P97" s="43">
        <f t="shared" si="97"/>
        <v>148.34927713443142</v>
      </c>
      <c r="Q97" s="43">
        <f t="shared" si="97"/>
        <v>148.34927713443142</v>
      </c>
      <c r="R97" s="43">
        <f t="shared" si="97"/>
        <v>148.34927713443142</v>
      </c>
      <c r="S97" s="43">
        <f t="shared" si="97"/>
        <v>148.34927713443142</v>
      </c>
      <c r="T97" s="43">
        <f t="shared" si="97"/>
        <v>148.34927713443142</v>
      </c>
      <c r="U97" s="43">
        <f t="shared" si="97"/>
        <v>148.34927713443142</v>
      </c>
      <c r="V97" s="43">
        <f t="shared" si="97"/>
        <v>149.21323928377646</v>
      </c>
      <c r="W97" s="43">
        <f t="shared" ref="W97" si="98">W93/(1+W44)^1</f>
        <v>148.34927713443142</v>
      </c>
    </row>
    <row r="98" spans="1:23" x14ac:dyDescent="0.3">
      <c r="A98" s="51" t="s">
        <v>515</v>
      </c>
      <c r="B98" s="52"/>
      <c r="C98" s="52"/>
      <c r="D98" s="52"/>
      <c r="E98" s="52"/>
      <c r="F98" s="52"/>
      <c r="G98" s="52"/>
      <c r="H98" s="52"/>
      <c r="I98" s="52"/>
      <c r="J98" s="52"/>
      <c r="K98" s="52"/>
      <c r="L98" s="52"/>
      <c r="M98" s="52"/>
      <c r="N98" s="52"/>
      <c r="O98" s="52"/>
      <c r="P98" s="52"/>
      <c r="Q98" s="52"/>
      <c r="R98" s="52"/>
      <c r="S98" s="52"/>
      <c r="T98" s="52"/>
      <c r="U98" s="52"/>
      <c r="V98" s="52"/>
      <c r="W98" s="52"/>
    </row>
    <row r="99" spans="1:23" x14ac:dyDescent="0.3">
      <c r="A99" s="14" t="s">
        <v>492</v>
      </c>
      <c r="B99" s="43">
        <f>B6*(1+B11)^1</f>
        <v>2200</v>
      </c>
      <c r="C99" s="43">
        <f>C6*(1+C11)^1</f>
        <v>2523.5</v>
      </c>
      <c r="D99" s="43">
        <f>D6*(1+D11)^1</f>
        <v>2835</v>
      </c>
      <c r="H99" s="43">
        <f t="shared" ref="H99:V99" si="99">H6*(1+H11)^1</f>
        <v>2523.5</v>
      </c>
      <c r="I99" s="43">
        <f t="shared" si="99"/>
        <v>2523.5</v>
      </c>
      <c r="J99" s="43">
        <f t="shared" si="99"/>
        <v>2523.5</v>
      </c>
      <c r="K99" s="43">
        <f t="shared" si="99"/>
        <v>2523.5</v>
      </c>
      <c r="L99" s="43">
        <f t="shared" si="99"/>
        <v>2523.5</v>
      </c>
      <c r="M99" s="43">
        <f t="shared" si="99"/>
        <v>2523.5</v>
      </c>
      <c r="N99" s="43">
        <f t="shared" si="99"/>
        <v>2523.5</v>
      </c>
      <c r="O99" s="43">
        <f t="shared" si="99"/>
        <v>2523.5</v>
      </c>
      <c r="P99" s="43">
        <f t="shared" si="99"/>
        <v>2231.7895800000001</v>
      </c>
      <c r="Q99" s="43">
        <f t="shared" si="99"/>
        <v>2791.4266899999998</v>
      </c>
      <c r="R99" s="43">
        <f t="shared" si="99"/>
        <v>2523.5</v>
      </c>
      <c r="S99" s="43">
        <f t="shared" si="99"/>
        <v>2523.5</v>
      </c>
      <c r="T99" s="43">
        <f t="shared" si="99"/>
        <v>2523.5</v>
      </c>
      <c r="U99" s="43">
        <f t="shared" si="99"/>
        <v>2523.5</v>
      </c>
      <c r="V99" s="43">
        <f t="shared" si="99"/>
        <v>2523.5</v>
      </c>
      <c r="W99" s="43">
        <f t="shared" ref="W99" si="100">W6*(1+W11)^1</f>
        <v>2523.5</v>
      </c>
    </row>
    <row r="100" spans="1:23" x14ac:dyDescent="0.3">
      <c r="A100" s="14" t="s">
        <v>493</v>
      </c>
      <c r="B100" s="43">
        <f>B40*B7+(B48-B9)*B99-B42*(1+B35)^1</f>
        <v>145.24915060050529</v>
      </c>
      <c r="C100" s="43">
        <f>C40*C7+(C48-C9)*C99-C42*(1+C35)^1</f>
        <v>219.30851206380692</v>
      </c>
      <c r="D100" s="43">
        <f>D40*D7+(D48-D9)*D99-D42*(1+D35)^1</f>
        <v>296.13831452383306</v>
      </c>
      <c r="H100" s="43">
        <f t="shared" ref="H100:V100" si="101">H40*H7+(H48-H9)*H99-H42*(1+H35)^1</f>
        <v>219.30851206380692</v>
      </c>
      <c r="I100" s="43">
        <f t="shared" si="101"/>
        <v>219.30851206380692</v>
      </c>
      <c r="J100" s="43">
        <f t="shared" si="101"/>
        <v>219.30851206380692</v>
      </c>
      <c r="K100" s="43">
        <f t="shared" si="101"/>
        <v>219.30851206380692</v>
      </c>
      <c r="L100" s="43">
        <f t="shared" si="101"/>
        <v>219.30851206380692</v>
      </c>
      <c r="M100" s="43">
        <f t="shared" si="101"/>
        <v>219.30851206380692</v>
      </c>
      <c r="N100" s="43">
        <f t="shared" si="101"/>
        <v>219.30851206380692</v>
      </c>
      <c r="O100" s="43">
        <f t="shared" si="101"/>
        <v>219.30851206380692</v>
      </c>
      <c r="P100" s="43">
        <f t="shared" si="101"/>
        <v>196.71167479211755</v>
      </c>
      <c r="Q100" s="43">
        <f t="shared" si="101"/>
        <v>240.06298430608189</v>
      </c>
      <c r="R100" s="43">
        <f t="shared" si="101"/>
        <v>210.06024078479408</v>
      </c>
      <c r="S100" s="43">
        <f t="shared" si="101"/>
        <v>219.30851206380692</v>
      </c>
      <c r="T100" s="43">
        <f t="shared" si="101"/>
        <v>219.30851206380692</v>
      </c>
      <c r="U100" s="43">
        <f t="shared" si="101"/>
        <v>235.31758467191634</v>
      </c>
      <c r="V100" s="43">
        <f t="shared" si="101"/>
        <v>219.30851206380692</v>
      </c>
      <c r="W100" s="43">
        <f t="shared" ref="W100" si="102">W40*W7+(W48-W9)*W99-W42*(1+W35)^1</f>
        <v>222.26758955184613</v>
      </c>
    </row>
    <row r="101" spans="1:23" x14ac:dyDescent="0.3">
      <c r="A101" s="14" t="s">
        <v>494</v>
      </c>
      <c r="B101" s="43">
        <f>B100*(1-B10)</f>
        <v>129.27174403444971</v>
      </c>
      <c r="C101" s="43">
        <f>C100*(1-C10)</f>
        <v>199.57074597806431</v>
      </c>
      <c r="D101" s="43">
        <f>D100*(1-D10)</f>
        <v>272.44724936192642</v>
      </c>
      <c r="H101" s="43">
        <f t="shared" ref="H101:V101" si="103">H100*(1-H10)</f>
        <v>199.57074597806431</v>
      </c>
      <c r="I101" s="43">
        <f t="shared" si="103"/>
        <v>199.57074597806431</v>
      </c>
      <c r="J101" s="43">
        <f t="shared" si="103"/>
        <v>199.57074597806431</v>
      </c>
      <c r="K101" s="43">
        <f t="shared" si="103"/>
        <v>199.57074597806431</v>
      </c>
      <c r="L101" s="43">
        <f t="shared" si="103"/>
        <v>199.57074597806431</v>
      </c>
      <c r="M101" s="43">
        <f t="shared" si="103"/>
        <v>199.57074597806431</v>
      </c>
      <c r="N101" s="43">
        <f t="shared" si="103"/>
        <v>199.57074597806431</v>
      </c>
      <c r="O101" s="43">
        <f t="shared" si="103"/>
        <v>199.57074597806431</v>
      </c>
      <c r="P101" s="43">
        <f t="shared" si="103"/>
        <v>179.00762406082697</v>
      </c>
      <c r="Q101" s="43">
        <f t="shared" si="103"/>
        <v>218.45731571853452</v>
      </c>
      <c r="R101" s="43">
        <f t="shared" si="103"/>
        <v>191.15481911416262</v>
      </c>
      <c r="S101" s="43">
        <f t="shared" si="103"/>
        <v>199.57074597806431</v>
      </c>
      <c r="T101" s="43">
        <f t="shared" si="103"/>
        <v>199.57074597806431</v>
      </c>
      <c r="U101" s="43">
        <f t="shared" si="103"/>
        <v>214.13900205144387</v>
      </c>
      <c r="V101" s="43">
        <f t="shared" si="103"/>
        <v>199.57074597806431</v>
      </c>
      <c r="W101" s="43">
        <f t="shared" ref="W101" si="104">W100*(1-W10)</f>
        <v>202.26350649217997</v>
      </c>
    </row>
    <row r="102" spans="1:23" x14ac:dyDescent="0.3">
      <c r="A102" s="14" t="s">
        <v>495</v>
      </c>
      <c r="B102" s="43">
        <f>B11*B56*(1+B11)^1</f>
        <v>0</v>
      </c>
      <c r="C102" s="43">
        <f>C11*C56*(1+C11)^1</f>
        <v>14.313961499999996</v>
      </c>
      <c r="D102" s="43">
        <f>D11*D56*(1+D11)^1</f>
        <v>24.319837499999998</v>
      </c>
      <c r="H102" s="43">
        <f t="shared" ref="H102:V102" si="105">H11*H56*(1+H11)^1</f>
        <v>14.313961499999996</v>
      </c>
      <c r="I102" s="43">
        <f t="shared" si="105"/>
        <v>14.313961499999996</v>
      </c>
      <c r="J102" s="43">
        <f t="shared" si="105"/>
        <v>14.313961499999996</v>
      </c>
      <c r="K102" s="43">
        <f t="shared" si="105"/>
        <v>14.313961499999996</v>
      </c>
      <c r="L102" s="43">
        <f t="shared" si="105"/>
        <v>14.313961499999996</v>
      </c>
      <c r="M102" s="43">
        <f t="shared" si="105"/>
        <v>14.313961499999996</v>
      </c>
      <c r="N102" s="43">
        <f t="shared" si="105"/>
        <v>14.313961499999996</v>
      </c>
      <c r="O102" s="43">
        <f t="shared" si="105"/>
        <v>14.313961499999996</v>
      </c>
      <c r="P102" s="43">
        <f t="shared" si="105"/>
        <v>14.313961499999996</v>
      </c>
      <c r="Q102" s="43">
        <f t="shared" si="105"/>
        <v>14.313961499999996</v>
      </c>
      <c r="R102" s="43">
        <f t="shared" si="105"/>
        <v>14.313961499999996</v>
      </c>
      <c r="S102" s="43">
        <f t="shared" si="105"/>
        <v>14.313961499999996</v>
      </c>
      <c r="T102" s="43">
        <f t="shared" si="105"/>
        <v>14.313961499999996</v>
      </c>
      <c r="U102" s="43">
        <f t="shared" si="105"/>
        <v>14.313961499999996</v>
      </c>
      <c r="V102" s="43">
        <f t="shared" si="105"/>
        <v>14.313961499999996</v>
      </c>
      <c r="W102" s="43">
        <f t="shared" ref="W102" si="106">W11*W56*(1+W11)^1</f>
        <v>14.313961499999996</v>
      </c>
    </row>
    <row r="103" spans="1:23" x14ac:dyDescent="0.3">
      <c r="A103" s="9" t="s">
        <v>496</v>
      </c>
      <c r="B103" s="67">
        <f>B101*(1-B36)-B102</f>
        <v>116.34456963100475</v>
      </c>
      <c r="C103" s="67">
        <f>C101*(1-C36)-C102</f>
        <v>165.29970988025786</v>
      </c>
      <c r="D103" s="67">
        <f>D101*(1-D36)-D102</f>
        <v>220.88268692573379</v>
      </c>
      <c r="H103" s="67">
        <f t="shared" ref="H103:V103" si="107">H101*(1-H36)-H102</f>
        <v>165.29970988025786</v>
      </c>
      <c r="I103" s="67">
        <f t="shared" si="107"/>
        <v>165.29970988025786</v>
      </c>
      <c r="J103" s="67">
        <f t="shared" si="107"/>
        <v>165.29970988025786</v>
      </c>
      <c r="K103" s="67">
        <f t="shared" si="107"/>
        <v>165.29970988025786</v>
      </c>
      <c r="L103" s="67">
        <f t="shared" si="107"/>
        <v>165.29970988025786</v>
      </c>
      <c r="M103" s="67">
        <f t="shared" si="107"/>
        <v>165.29970988025786</v>
      </c>
      <c r="N103" s="67">
        <f t="shared" si="107"/>
        <v>165.29970988025786</v>
      </c>
      <c r="O103" s="67">
        <f t="shared" si="107"/>
        <v>165.29970988025786</v>
      </c>
      <c r="P103" s="67">
        <f t="shared" si="107"/>
        <v>146.79290015474427</v>
      </c>
      <c r="Q103" s="67">
        <f t="shared" si="107"/>
        <v>182.29762264668108</v>
      </c>
      <c r="R103" s="67">
        <f t="shared" si="107"/>
        <v>157.72537570274636</v>
      </c>
      <c r="S103" s="67">
        <f t="shared" si="107"/>
        <v>165.29970988025786</v>
      </c>
      <c r="T103" s="67">
        <f t="shared" si="107"/>
        <v>165.29970988025786</v>
      </c>
      <c r="U103" s="67">
        <f t="shared" si="107"/>
        <v>178.41114034629948</v>
      </c>
      <c r="V103" s="67">
        <f t="shared" si="107"/>
        <v>165.29970988025786</v>
      </c>
      <c r="W103" s="67">
        <f t="shared" ref="W103" si="108">W101*(1-W36)-W102</f>
        <v>167.72319434296196</v>
      </c>
    </row>
    <row r="104" spans="1:23" x14ac:dyDescent="0.3">
      <c r="A104" s="14" t="s">
        <v>497</v>
      </c>
      <c r="B104" s="43">
        <f>B103/(1+B44)^2</f>
        <v>94.047898988860481</v>
      </c>
      <c r="C104" s="43">
        <f>C103/(1+C44)^2</f>
        <v>133.62110897837337</v>
      </c>
      <c r="D104" s="43">
        <f>D103/(1+D44)^2</f>
        <v>178.55197448634121</v>
      </c>
      <c r="H104" s="43">
        <f t="shared" ref="H104:V104" si="109">H103/(1+H44)^2</f>
        <v>133.62110897837337</v>
      </c>
      <c r="I104" s="43">
        <f t="shared" si="109"/>
        <v>133.62110897837337</v>
      </c>
      <c r="J104" s="43">
        <f t="shared" si="109"/>
        <v>133.62110897837337</v>
      </c>
      <c r="K104" s="43">
        <f t="shared" si="109"/>
        <v>133.62110897837337</v>
      </c>
      <c r="L104" s="43">
        <f t="shared" si="109"/>
        <v>133.62110897837337</v>
      </c>
      <c r="M104" s="43">
        <f t="shared" si="109"/>
        <v>132.24780857096744</v>
      </c>
      <c r="N104" s="43">
        <f t="shared" si="109"/>
        <v>130.79312893213483</v>
      </c>
      <c r="O104" s="43">
        <f t="shared" si="109"/>
        <v>133.62110897837337</v>
      </c>
      <c r="P104" s="43">
        <f t="shared" si="109"/>
        <v>118.66100746962768</v>
      </c>
      <c r="Q104" s="43">
        <f t="shared" si="109"/>
        <v>147.36148369416944</v>
      </c>
      <c r="R104" s="43">
        <f t="shared" si="109"/>
        <v>127.4983460690795</v>
      </c>
      <c r="S104" s="43">
        <f t="shared" si="109"/>
        <v>133.62110897837337</v>
      </c>
      <c r="T104" s="43">
        <f t="shared" si="109"/>
        <v>133.62110897837337</v>
      </c>
      <c r="U104" s="43">
        <f t="shared" si="109"/>
        <v>144.21982013421524</v>
      </c>
      <c r="V104" s="43">
        <f t="shared" si="109"/>
        <v>135.1820163868843</v>
      </c>
      <c r="W104" s="43">
        <f t="shared" ref="W104" si="110">W103/(1+W44)^2</f>
        <v>135.58014860241724</v>
      </c>
    </row>
    <row r="105" spans="1:23" x14ac:dyDescent="0.3">
      <c r="A105" s="14" t="s">
        <v>498</v>
      </c>
      <c r="B105" s="43">
        <f>0</f>
        <v>0</v>
      </c>
      <c r="C105" s="43">
        <f>0</f>
        <v>0</v>
      </c>
      <c r="D105" s="43">
        <f>0</f>
        <v>0</v>
      </c>
      <c r="H105" s="43">
        <f>0</f>
        <v>0</v>
      </c>
      <c r="I105" s="43">
        <f>0</f>
        <v>0</v>
      </c>
      <c r="J105" s="43">
        <f>0</f>
        <v>0</v>
      </c>
      <c r="K105" s="43">
        <f>0</f>
        <v>0</v>
      </c>
      <c r="L105" s="43">
        <f>0</f>
        <v>0</v>
      </c>
      <c r="M105" s="43">
        <f>0</f>
        <v>0</v>
      </c>
      <c r="N105" s="43">
        <f>0</f>
        <v>0</v>
      </c>
      <c r="O105" s="43">
        <f>0</f>
        <v>0</v>
      </c>
      <c r="P105" s="43">
        <f>0</f>
        <v>0</v>
      </c>
      <c r="Q105" s="43">
        <f>0</f>
        <v>0</v>
      </c>
      <c r="R105" s="43">
        <f>0</f>
        <v>0</v>
      </c>
      <c r="S105" s="43">
        <f>0</f>
        <v>0</v>
      </c>
      <c r="T105" s="43">
        <f>0</f>
        <v>0</v>
      </c>
      <c r="U105" s="43">
        <f>0</f>
        <v>0</v>
      </c>
      <c r="V105" s="43">
        <f>0</f>
        <v>0</v>
      </c>
      <c r="W105" s="43">
        <f>0</f>
        <v>0</v>
      </c>
    </row>
    <row r="106" spans="1:23" x14ac:dyDescent="0.3">
      <c r="A106" s="14" t="s">
        <v>499</v>
      </c>
      <c r="B106" s="43">
        <f>B69*(IF(B29-2028=1,0.5,0)+IF(B29-2028=2,0.5,0)+IF(AND(B29=2028,2028=2027),0.5,0))</f>
        <v>0</v>
      </c>
      <c r="C106" s="43">
        <f>C69*(IF(C29-2028=1,0.5,0)+IF(C29-2028=2,0.5,0)+IF(AND(C29=2028,2028=2027),0.5,0))</f>
        <v>355.9615</v>
      </c>
      <c r="D106" s="43">
        <f>D69*(IF(D29-2028=1,0.5,0)+IF(D29-2028=2,0.5,0)+IF(AND(D29=2028,2028=2027),0.5,0))</f>
        <v>0</v>
      </c>
      <c r="H106" s="43">
        <f t="shared" ref="H106:V106" si="111">H69*(IF(H29-2028=1,0.5,0)+IF(H29-2028=2,0.5,0)+IF(AND(H29=2028,2028=2027),0.5,0))</f>
        <v>355.9615</v>
      </c>
      <c r="I106" s="43">
        <f t="shared" si="111"/>
        <v>0</v>
      </c>
      <c r="J106" s="43">
        <f t="shared" si="111"/>
        <v>0</v>
      </c>
      <c r="K106" s="43">
        <f t="shared" si="111"/>
        <v>355.9615</v>
      </c>
      <c r="L106" s="43">
        <f t="shared" si="111"/>
        <v>355.9615</v>
      </c>
      <c r="M106" s="43">
        <f t="shared" si="111"/>
        <v>355.9615</v>
      </c>
      <c r="N106" s="43">
        <f t="shared" si="111"/>
        <v>355.9615</v>
      </c>
      <c r="O106" s="43">
        <f t="shared" si="111"/>
        <v>355.9615</v>
      </c>
      <c r="P106" s="43">
        <f t="shared" si="111"/>
        <v>355.9615</v>
      </c>
      <c r="Q106" s="43">
        <f t="shared" si="111"/>
        <v>355.9615</v>
      </c>
      <c r="R106" s="43">
        <f t="shared" si="111"/>
        <v>355.9615</v>
      </c>
      <c r="S106" s="43">
        <f t="shared" si="111"/>
        <v>355.9615</v>
      </c>
      <c r="T106" s="43">
        <f t="shared" si="111"/>
        <v>355.9615</v>
      </c>
      <c r="U106" s="43">
        <f t="shared" si="111"/>
        <v>355.9615</v>
      </c>
      <c r="V106" s="43">
        <f t="shared" si="111"/>
        <v>355.9615</v>
      </c>
      <c r="W106" s="43">
        <f t="shared" ref="W106" si="112">W69*(IF(W29-2028=1,0.5,0)+IF(W29-2028=2,0.5,0)+IF(AND(W29=2028,2028=2027),0.5,0))</f>
        <v>355.9615</v>
      </c>
    </row>
    <row r="107" spans="1:23" x14ac:dyDescent="0.3">
      <c r="A107" s="14" t="s">
        <v>500</v>
      </c>
      <c r="B107" s="43">
        <f>B105+B106</f>
        <v>0</v>
      </c>
      <c r="C107" s="43">
        <f>C105+C106</f>
        <v>355.9615</v>
      </c>
      <c r="D107" s="43">
        <f>D105+D106</f>
        <v>0</v>
      </c>
      <c r="H107" s="43">
        <f t="shared" ref="H107:V107" si="113">H105+H106</f>
        <v>355.9615</v>
      </c>
      <c r="I107" s="43">
        <f t="shared" si="113"/>
        <v>0</v>
      </c>
      <c r="J107" s="43">
        <f t="shared" si="113"/>
        <v>0</v>
      </c>
      <c r="K107" s="43">
        <f t="shared" si="113"/>
        <v>355.9615</v>
      </c>
      <c r="L107" s="43">
        <f t="shared" si="113"/>
        <v>355.9615</v>
      </c>
      <c r="M107" s="43">
        <f t="shared" si="113"/>
        <v>355.9615</v>
      </c>
      <c r="N107" s="43">
        <f t="shared" si="113"/>
        <v>355.9615</v>
      </c>
      <c r="O107" s="43">
        <f t="shared" si="113"/>
        <v>355.9615</v>
      </c>
      <c r="P107" s="43">
        <f t="shared" si="113"/>
        <v>355.9615</v>
      </c>
      <c r="Q107" s="43">
        <f t="shared" si="113"/>
        <v>355.9615</v>
      </c>
      <c r="R107" s="43">
        <f t="shared" si="113"/>
        <v>355.9615</v>
      </c>
      <c r="S107" s="43">
        <f t="shared" si="113"/>
        <v>355.9615</v>
      </c>
      <c r="T107" s="43">
        <f t="shared" si="113"/>
        <v>355.9615</v>
      </c>
      <c r="U107" s="43">
        <f t="shared" si="113"/>
        <v>355.9615</v>
      </c>
      <c r="V107" s="43">
        <f t="shared" si="113"/>
        <v>355.9615</v>
      </c>
      <c r="W107" s="43">
        <f t="shared" ref="W107" si="114">W105+W106</f>
        <v>355.9615</v>
      </c>
    </row>
    <row r="108" spans="1:23" x14ac:dyDescent="0.3">
      <c r="A108" s="14" t="s">
        <v>501</v>
      </c>
      <c r="B108" s="43">
        <f>B65*1+B68</f>
        <v>-4.3000000000000114</v>
      </c>
      <c r="C108" s="43">
        <f>C65*1+C68</f>
        <v>63.3</v>
      </c>
      <c r="D108" s="43">
        <f>D65*1+D68</f>
        <v>141.40000000000003</v>
      </c>
      <c r="H108" s="43">
        <f t="shared" ref="H108:V108" si="115">H65*1+H68</f>
        <v>63.3</v>
      </c>
      <c r="I108" s="43">
        <f t="shared" si="115"/>
        <v>63.3</v>
      </c>
      <c r="J108" s="43">
        <f t="shared" si="115"/>
        <v>63.3</v>
      </c>
      <c r="K108" s="43">
        <f t="shared" si="115"/>
        <v>31.799999999999997</v>
      </c>
      <c r="L108" s="43">
        <f t="shared" si="115"/>
        <v>43.3</v>
      </c>
      <c r="M108" s="43">
        <f t="shared" si="115"/>
        <v>63.3</v>
      </c>
      <c r="N108" s="43">
        <f t="shared" si="115"/>
        <v>63.3</v>
      </c>
      <c r="O108" s="43">
        <f t="shared" si="115"/>
        <v>63.3</v>
      </c>
      <c r="P108" s="43">
        <f t="shared" si="115"/>
        <v>63.3</v>
      </c>
      <c r="Q108" s="43">
        <f t="shared" si="115"/>
        <v>63.3</v>
      </c>
      <c r="R108" s="43">
        <f t="shared" si="115"/>
        <v>63.3</v>
      </c>
      <c r="S108" s="43">
        <f t="shared" si="115"/>
        <v>63.3</v>
      </c>
      <c r="T108" s="43">
        <f t="shared" si="115"/>
        <v>63.3</v>
      </c>
      <c r="U108" s="43">
        <f t="shared" si="115"/>
        <v>63.3</v>
      </c>
      <c r="V108" s="43">
        <f t="shared" si="115"/>
        <v>63.3</v>
      </c>
      <c r="W108" s="43">
        <f t="shared" ref="W108" si="116">W65*1+W68</f>
        <v>63.3</v>
      </c>
    </row>
    <row r="109" spans="1:23" x14ac:dyDescent="0.3">
      <c r="A109" s="14" t="s">
        <v>502</v>
      </c>
      <c r="B109" s="43">
        <f>B27*B30*IF(2028&gt;=B29,1,0)</f>
        <v>0</v>
      </c>
      <c r="C109" s="43">
        <f>C27*C30*IF(2028&gt;=C29,1,0)</f>
        <v>0</v>
      </c>
      <c r="D109" s="43">
        <f>D27*D30*IF(2028&gt;=D29,1,0)</f>
        <v>75</v>
      </c>
      <c r="H109" s="43">
        <f t="shared" ref="H109:V109" si="117">H27*H30*IF(2028&gt;=H29,1,0)</f>
        <v>0</v>
      </c>
      <c r="I109" s="43">
        <f t="shared" si="117"/>
        <v>0</v>
      </c>
      <c r="J109" s="43">
        <f t="shared" si="117"/>
        <v>45</v>
      </c>
      <c r="K109" s="43">
        <f t="shared" si="117"/>
        <v>0</v>
      </c>
      <c r="L109" s="43">
        <f t="shared" si="117"/>
        <v>0</v>
      </c>
      <c r="M109" s="43">
        <f t="shared" si="117"/>
        <v>0</v>
      </c>
      <c r="N109" s="43">
        <f t="shared" si="117"/>
        <v>0</v>
      </c>
      <c r="O109" s="43">
        <f t="shared" si="117"/>
        <v>0</v>
      </c>
      <c r="P109" s="43">
        <f t="shared" si="117"/>
        <v>0</v>
      </c>
      <c r="Q109" s="43">
        <f t="shared" si="117"/>
        <v>0</v>
      </c>
      <c r="R109" s="43">
        <f t="shared" si="117"/>
        <v>0</v>
      </c>
      <c r="S109" s="43">
        <f t="shared" si="117"/>
        <v>0</v>
      </c>
      <c r="T109" s="43">
        <f t="shared" si="117"/>
        <v>0</v>
      </c>
      <c r="U109" s="43">
        <f t="shared" si="117"/>
        <v>0</v>
      </c>
      <c r="V109" s="43">
        <f t="shared" si="117"/>
        <v>0</v>
      </c>
      <c r="W109" s="43">
        <f t="shared" ref="W109" si="118">W27*W30*IF(2028&gt;=W29,1,0)</f>
        <v>0</v>
      </c>
    </row>
    <row r="110" spans="1:23" x14ac:dyDescent="0.3">
      <c r="A110" s="14" t="s">
        <v>503</v>
      </c>
      <c r="B110" s="43">
        <f>B108+B109</f>
        <v>-4.3000000000000114</v>
      </c>
      <c r="C110" s="43">
        <f>C108+C109</f>
        <v>63.3</v>
      </c>
      <c r="D110" s="43">
        <f>D108+D109</f>
        <v>216.40000000000003</v>
      </c>
      <c r="H110" s="43">
        <f t="shared" ref="H110:V110" si="119">H108+H109</f>
        <v>63.3</v>
      </c>
      <c r="I110" s="43">
        <f t="shared" si="119"/>
        <v>63.3</v>
      </c>
      <c r="J110" s="43">
        <f t="shared" si="119"/>
        <v>108.3</v>
      </c>
      <c r="K110" s="43">
        <f t="shared" si="119"/>
        <v>31.799999999999997</v>
      </c>
      <c r="L110" s="43">
        <f t="shared" si="119"/>
        <v>43.3</v>
      </c>
      <c r="M110" s="43">
        <f t="shared" si="119"/>
        <v>63.3</v>
      </c>
      <c r="N110" s="43">
        <f t="shared" si="119"/>
        <v>63.3</v>
      </c>
      <c r="O110" s="43">
        <f t="shared" si="119"/>
        <v>63.3</v>
      </c>
      <c r="P110" s="43">
        <f t="shared" si="119"/>
        <v>63.3</v>
      </c>
      <c r="Q110" s="43">
        <f t="shared" si="119"/>
        <v>63.3</v>
      </c>
      <c r="R110" s="43">
        <f t="shared" si="119"/>
        <v>63.3</v>
      </c>
      <c r="S110" s="43">
        <f t="shared" si="119"/>
        <v>63.3</v>
      </c>
      <c r="T110" s="43">
        <f t="shared" si="119"/>
        <v>63.3</v>
      </c>
      <c r="U110" s="43">
        <f t="shared" si="119"/>
        <v>63.3</v>
      </c>
      <c r="V110" s="43">
        <f t="shared" si="119"/>
        <v>63.3</v>
      </c>
      <c r="W110" s="43">
        <f t="shared" ref="W110" si="120">W108+W109</f>
        <v>63.3</v>
      </c>
    </row>
    <row r="111" spans="1:23" x14ac:dyDescent="0.3">
      <c r="A111" s="14" t="s">
        <v>504</v>
      </c>
      <c r="B111" s="43">
        <f>B66*1+B68-B36*B108-B105</f>
        <v>24.129999999999988</v>
      </c>
      <c r="C111" s="43">
        <f>C66*1+C68-C36*C108-C105</f>
        <v>81.17</v>
      </c>
      <c r="D111" s="43">
        <f>D66*1+D68-D36*D108-D105</f>
        <v>151.46</v>
      </c>
      <c r="H111" s="43">
        <f t="shared" ref="H111:V111" si="121">H66*1+H68-H36*H108-H105</f>
        <v>81.17</v>
      </c>
      <c r="I111" s="43">
        <f t="shared" si="121"/>
        <v>81.17</v>
      </c>
      <c r="J111" s="43">
        <f t="shared" si="121"/>
        <v>81.17</v>
      </c>
      <c r="K111" s="43">
        <f t="shared" si="121"/>
        <v>52.82</v>
      </c>
      <c r="L111" s="43">
        <f t="shared" si="121"/>
        <v>63.17</v>
      </c>
      <c r="M111" s="43">
        <f t="shared" si="121"/>
        <v>81.17</v>
      </c>
      <c r="N111" s="43">
        <f t="shared" si="121"/>
        <v>81.17</v>
      </c>
      <c r="O111" s="43">
        <f t="shared" si="121"/>
        <v>81.17</v>
      </c>
      <c r="P111" s="43">
        <f t="shared" si="121"/>
        <v>81.17</v>
      </c>
      <c r="Q111" s="43">
        <f t="shared" si="121"/>
        <v>81.17</v>
      </c>
      <c r="R111" s="43">
        <f t="shared" si="121"/>
        <v>81.17</v>
      </c>
      <c r="S111" s="43">
        <f t="shared" si="121"/>
        <v>81.17</v>
      </c>
      <c r="T111" s="43">
        <f t="shared" si="121"/>
        <v>81.17</v>
      </c>
      <c r="U111" s="43">
        <f t="shared" si="121"/>
        <v>81.17</v>
      </c>
      <c r="V111" s="43">
        <f t="shared" si="121"/>
        <v>81.17</v>
      </c>
      <c r="W111" s="43">
        <f t="shared" ref="W111" si="122">W66*1+W68-W36*W108-W105</f>
        <v>81.17</v>
      </c>
    </row>
    <row r="112" spans="1:23" x14ac:dyDescent="0.3">
      <c r="A112" s="14" t="s">
        <v>505</v>
      </c>
      <c r="B112" s="43">
        <f>B109*(1-B36)-B106</f>
        <v>0</v>
      </c>
      <c r="C112" s="43">
        <f>C109*(1-C36)-C106</f>
        <v>-355.9615</v>
      </c>
      <c r="D112" s="43">
        <f>D109*(1-D36)-D106</f>
        <v>67.5</v>
      </c>
      <c r="H112" s="43">
        <f t="shared" ref="H112:V112" si="123">H109*(1-H36)-H106</f>
        <v>-355.9615</v>
      </c>
      <c r="I112" s="43">
        <f t="shared" si="123"/>
        <v>0</v>
      </c>
      <c r="J112" s="43">
        <f t="shared" si="123"/>
        <v>40.5</v>
      </c>
      <c r="K112" s="43">
        <f t="shared" si="123"/>
        <v>-355.9615</v>
      </c>
      <c r="L112" s="43">
        <f t="shared" si="123"/>
        <v>-355.9615</v>
      </c>
      <c r="M112" s="43">
        <f t="shared" si="123"/>
        <v>-355.9615</v>
      </c>
      <c r="N112" s="43">
        <f t="shared" si="123"/>
        <v>-355.9615</v>
      </c>
      <c r="O112" s="43">
        <f t="shared" si="123"/>
        <v>-355.9615</v>
      </c>
      <c r="P112" s="43">
        <f t="shared" si="123"/>
        <v>-355.9615</v>
      </c>
      <c r="Q112" s="43">
        <f t="shared" si="123"/>
        <v>-355.9615</v>
      </c>
      <c r="R112" s="43">
        <f t="shared" si="123"/>
        <v>-355.9615</v>
      </c>
      <c r="S112" s="43">
        <f t="shared" si="123"/>
        <v>-355.9615</v>
      </c>
      <c r="T112" s="43">
        <f t="shared" si="123"/>
        <v>-355.9615</v>
      </c>
      <c r="U112" s="43">
        <f t="shared" si="123"/>
        <v>-355.9615</v>
      </c>
      <c r="V112" s="43">
        <f t="shared" si="123"/>
        <v>-355.9615</v>
      </c>
      <c r="W112" s="43">
        <f t="shared" ref="W112" si="124">W109*(1-W36)-W106</f>
        <v>-355.9615</v>
      </c>
    </row>
    <row r="113" spans="1:23" x14ac:dyDescent="0.3">
      <c r="A113" s="14" t="s">
        <v>506</v>
      </c>
      <c r="B113" s="43">
        <f>B111/(1+B45)^2</f>
        <v>19.092823595507987</v>
      </c>
      <c r="C113" s="43">
        <f>C111/(1+C45)^2</f>
        <v>64.225631630641701</v>
      </c>
      <c r="D113" s="43">
        <f>D111/(1+D45)^2</f>
        <v>119.84248080296896</v>
      </c>
      <c r="H113" s="43">
        <f t="shared" ref="H113:V113" si="125">H111/(1+H45)^2</f>
        <v>64.225631630641701</v>
      </c>
      <c r="I113" s="43">
        <f t="shared" si="125"/>
        <v>64.225631630641701</v>
      </c>
      <c r="J113" s="43">
        <f t="shared" si="125"/>
        <v>64.225631630641701</v>
      </c>
      <c r="K113" s="43">
        <f t="shared" si="125"/>
        <v>41.793739838986006</v>
      </c>
      <c r="L113" s="43">
        <f t="shared" si="125"/>
        <v>49.983160651812689</v>
      </c>
      <c r="M113" s="43">
        <f t="shared" si="125"/>
        <v>63.455655699321667</v>
      </c>
      <c r="N113" s="43">
        <f t="shared" si="125"/>
        <v>64.225631630641701</v>
      </c>
      <c r="O113" s="43">
        <f t="shared" si="125"/>
        <v>64.225631630641701</v>
      </c>
      <c r="P113" s="43">
        <f t="shared" si="125"/>
        <v>64.225631630641701</v>
      </c>
      <c r="Q113" s="43">
        <f t="shared" si="125"/>
        <v>64.225631630641701</v>
      </c>
      <c r="R113" s="43">
        <f t="shared" si="125"/>
        <v>64.225631630641701</v>
      </c>
      <c r="S113" s="43">
        <f t="shared" si="125"/>
        <v>64.225631630641701</v>
      </c>
      <c r="T113" s="43">
        <f t="shared" si="125"/>
        <v>64.225631630641701</v>
      </c>
      <c r="U113" s="43">
        <f t="shared" si="125"/>
        <v>64.225631630641701</v>
      </c>
      <c r="V113" s="43">
        <f t="shared" si="125"/>
        <v>64.225631630641701</v>
      </c>
      <c r="W113" s="43">
        <f t="shared" ref="W113" si="126">W111/(1+W45)^2</f>
        <v>64.225631630641701</v>
      </c>
    </row>
    <row r="114" spans="1:23" x14ac:dyDescent="0.3">
      <c r="A114" s="14" t="s">
        <v>507</v>
      </c>
      <c r="B114" s="43">
        <f>B112/(1+B45)^2</f>
        <v>0</v>
      </c>
      <c r="C114" s="43">
        <f>C112/(1+C45)^2</f>
        <v>-281.65396296280232</v>
      </c>
      <c r="D114" s="43">
        <f>D112/(1+D45)^2</f>
        <v>53.409266170608774</v>
      </c>
      <c r="H114" s="43">
        <f t="shared" ref="H114:V114" si="127">H112/(1+H45)^2</f>
        <v>-281.65396296280232</v>
      </c>
      <c r="I114" s="43">
        <f t="shared" si="127"/>
        <v>0</v>
      </c>
      <c r="J114" s="43">
        <f t="shared" si="127"/>
        <v>32.045559702365267</v>
      </c>
      <c r="K114" s="43">
        <f t="shared" si="127"/>
        <v>-281.65396296280232</v>
      </c>
      <c r="L114" s="43">
        <f t="shared" si="127"/>
        <v>-281.65396296280232</v>
      </c>
      <c r="M114" s="43">
        <f t="shared" si="127"/>
        <v>-278.27732396469247</v>
      </c>
      <c r="N114" s="43">
        <f t="shared" si="127"/>
        <v>-281.65396296280232</v>
      </c>
      <c r="O114" s="43">
        <f t="shared" si="127"/>
        <v>-281.65396296280232</v>
      </c>
      <c r="P114" s="43">
        <f t="shared" si="127"/>
        <v>-281.65396296280232</v>
      </c>
      <c r="Q114" s="43">
        <f t="shared" si="127"/>
        <v>-281.65396296280232</v>
      </c>
      <c r="R114" s="43">
        <f t="shared" si="127"/>
        <v>-281.65396296280232</v>
      </c>
      <c r="S114" s="43">
        <f t="shared" si="127"/>
        <v>-281.65396296280232</v>
      </c>
      <c r="T114" s="43">
        <f t="shared" si="127"/>
        <v>-281.65396296280232</v>
      </c>
      <c r="U114" s="43">
        <f t="shared" si="127"/>
        <v>-281.65396296280232</v>
      </c>
      <c r="V114" s="43">
        <f t="shared" si="127"/>
        <v>-281.65396296280232</v>
      </c>
      <c r="W114" s="43">
        <f t="shared" ref="W114" si="128">W112/(1+W45)^2</f>
        <v>-281.65396296280232</v>
      </c>
    </row>
    <row r="115" spans="1:23" x14ac:dyDescent="0.3">
      <c r="A115" s="14" t="s">
        <v>508</v>
      </c>
      <c r="B115" s="43">
        <f>IF(B95&gt;0,B16,B38)*B95</f>
        <v>45.358967630015322</v>
      </c>
      <c r="C115" s="43">
        <f>IF(C95&gt;0,C16,C38)*C95</f>
        <v>55.883876974464144</v>
      </c>
      <c r="D115" s="43">
        <f>IF(D95&gt;0,D16,D38)*D95</f>
        <v>9.7235317732667159</v>
      </c>
      <c r="H115" s="43">
        <f t="shared" ref="H115:V115" si="129">IF(H95&gt;0,H16,H38)*H95</f>
        <v>55.883876974464144</v>
      </c>
      <c r="I115" s="43">
        <f t="shared" si="129"/>
        <v>55.883876974464144</v>
      </c>
      <c r="J115" s="43">
        <f t="shared" si="129"/>
        <v>6.0492669744641505</v>
      </c>
      <c r="K115" s="43">
        <f t="shared" si="129"/>
        <v>54.891626974464131</v>
      </c>
      <c r="L115" s="43">
        <f t="shared" si="129"/>
        <v>55.253876974464148</v>
      </c>
      <c r="M115" s="43">
        <f t="shared" si="129"/>
        <v>55.883876974464144</v>
      </c>
      <c r="N115" s="43">
        <f t="shared" si="129"/>
        <v>55.883876974464144</v>
      </c>
      <c r="O115" s="43">
        <f t="shared" si="129"/>
        <v>59.733876974464145</v>
      </c>
      <c r="P115" s="43">
        <f t="shared" si="129"/>
        <v>54.626132624186511</v>
      </c>
      <c r="Q115" s="43">
        <f t="shared" si="129"/>
        <v>57.039074929463773</v>
      </c>
      <c r="R115" s="43">
        <f t="shared" si="129"/>
        <v>55.369116399293461</v>
      </c>
      <c r="S115" s="43">
        <f t="shared" si="129"/>
        <v>55.883876974464144</v>
      </c>
      <c r="T115" s="43">
        <f t="shared" si="129"/>
        <v>55.883876974464144</v>
      </c>
      <c r="U115" s="43">
        <f t="shared" si="129"/>
        <v>56.774945064389286</v>
      </c>
      <c r="V115" s="43">
        <f t="shared" si="129"/>
        <v>55.883876974464144</v>
      </c>
      <c r="W115" s="43">
        <f t="shared" ref="W115" si="130">IF(W95&gt;0,W16,W38)*W95</f>
        <v>55.995146015618786</v>
      </c>
    </row>
    <row r="116" spans="1:23" x14ac:dyDescent="0.3">
      <c r="A116" s="14" t="s">
        <v>509</v>
      </c>
      <c r="B116" s="43">
        <f>B101+B110+B115*(1-B37)</f>
        <v>161.25891813846195</v>
      </c>
      <c r="C116" s="43">
        <f>C101+C110+C115*(1-C37)</f>
        <v>307.57784755763561</v>
      </c>
      <c r="D116" s="43">
        <f>D101+D110+D115*(1-D37)</f>
        <v>496.62607478053985</v>
      </c>
      <c r="H116" s="43">
        <f t="shared" ref="H116:V116" si="131">H101+H110+H115*(1-H37)</f>
        <v>307.57784755763561</v>
      </c>
      <c r="I116" s="43">
        <f t="shared" si="131"/>
        <v>307.57784755763561</v>
      </c>
      <c r="J116" s="43">
        <f t="shared" si="131"/>
        <v>312.71015955763562</v>
      </c>
      <c r="K116" s="43">
        <f t="shared" si="131"/>
        <v>275.28404755763563</v>
      </c>
      <c r="L116" s="43">
        <f t="shared" si="131"/>
        <v>287.07384755763564</v>
      </c>
      <c r="M116" s="43">
        <f t="shared" si="131"/>
        <v>307.57784755763561</v>
      </c>
      <c r="N116" s="43">
        <f t="shared" si="131"/>
        <v>307.57784755763561</v>
      </c>
      <c r="O116" s="43">
        <f t="shared" si="131"/>
        <v>310.65784755763559</v>
      </c>
      <c r="P116" s="43">
        <f t="shared" si="131"/>
        <v>286.00853016017618</v>
      </c>
      <c r="Q116" s="43">
        <f t="shared" si="131"/>
        <v>327.38857566210555</v>
      </c>
      <c r="R116" s="43">
        <f t="shared" si="131"/>
        <v>298.75011223359741</v>
      </c>
      <c r="S116" s="43">
        <f t="shared" si="131"/>
        <v>307.57784755763561</v>
      </c>
      <c r="T116" s="43">
        <f t="shared" si="131"/>
        <v>307.57784755763561</v>
      </c>
      <c r="U116" s="43">
        <f t="shared" si="131"/>
        <v>322.85895810295528</v>
      </c>
      <c r="V116" s="43">
        <f t="shared" si="131"/>
        <v>307.57784755763561</v>
      </c>
      <c r="W116" s="43">
        <f t="shared" ref="W116" si="132">W101+W110+W115*(1-W37)</f>
        <v>310.35962330467498</v>
      </c>
    </row>
    <row r="117" spans="1:23" x14ac:dyDescent="0.3">
      <c r="A117" s="14" t="s">
        <v>510</v>
      </c>
      <c r="B117" s="27">
        <f>B15*'01_Số liệu gốc'!$B$8/1000</f>
        <v>110</v>
      </c>
      <c r="C117" s="27">
        <f>C15*'01_Số liệu gốc'!$B$8/1000</f>
        <v>165</v>
      </c>
      <c r="D117" s="27">
        <f>D15*'01_Số liệu gốc'!$B$8/1000</f>
        <v>220</v>
      </c>
      <c r="H117" s="27">
        <f>H15*'01_Số liệu gốc'!$B$8/1000</f>
        <v>165</v>
      </c>
      <c r="I117" s="27">
        <f>I15*'01_Số liệu gốc'!$B$8/1000</f>
        <v>165</v>
      </c>
      <c r="J117" s="27">
        <f>J15*'01_Số liệu gốc'!$B$8/1000</f>
        <v>165</v>
      </c>
      <c r="K117" s="27">
        <f>K15*'01_Số liệu gốc'!$B$8/1000</f>
        <v>165</v>
      </c>
      <c r="L117" s="27">
        <f>L15*'01_Số liệu gốc'!$B$8/1000</f>
        <v>165</v>
      </c>
      <c r="M117" s="27">
        <f>M15*'01_Số liệu gốc'!$B$8/1000</f>
        <v>165</v>
      </c>
      <c r="N117" s="27">
        <f>N15*'01_Số liệu gốc'!$B$8/1000</f>
        <v>165</v>
      </c>
      <c r="O117" s="27">
        <f>O15*'01_Số liệu gốc'!$B$8/1000</f>
        <v>110</v>
      </c>
      <c r="P117" s="27">
        <f>P15*'01_Số liệu gốc'!$B$8/1000</f>
        <v>165</v>
      </c>
      <c r="Q117" s="27">
        <f>Q15*'01_Số liệu gốc'!$B$8/1000</f>
        <v>165</v>
      </c>
      <c r="R117" s="27">
        <f>R15*'01_Số liệu gốc'!$B$8/1000</f>
        <v>165</v>
      </c>
      <c r="S117" s="27">
        <f>S15*'01_Số liệu gốc'!$B$8/1000</f>
        <v>165</v>
      </c>
      <c r="T117" s="27">
        <f>T15*'01_Số liệu gốc'!$B$8/1000</f>
        <v>165</v>
      </c>
      <c r="U117" s="27">
        <f>U15*'01_Số liệu gốc'!$B$8/1000</f>
        <v>165</v>
      </c>
      <c r="V117" s="27">
        <f>V15*'01_Số liệu gốc'!$B$8/1000</f>
        <v>165</v>
      </c>
      <c r="W117" s="27">
        <f>W15*'01_Số liệu gốc'!$B$8/1000</f>
        <v>165</v>
      </c>
    </row>
    <row r="118" spans="1:23" x14ac:dyDescent="0.3">
      <c r="A118" s="14" t="s">
        <v>511</v>
      </c>
      <c r="B118" s="43">
        <f>(B64-B24)*1</f>
        <v>28</v>
      </c>
      <c r="C118" s="43">
        <f>(C64-C24)*1</f>
        <v>24.200000000000003</v>
      </c>
      <c r="D118" s="43">
        <f>(D64-D24)*1</f>
        <v>24.200000000000003</v>
      </c>
      <c r="H118" s="43">
        <f t="shared" ref="H118:V118" si="133">(H64-H24)*1</f>
        <v>24.200000000000003</v>
      </c>
      <c r="I118" s="43">
        <f t="shared" si="133"/>
        <v>24.200000000000003</v>
      </c>
      <c r="J118" s="43">
        <f t="shared" si="133"/>
        <v>24.200000000000003</v>
      </c>
      <c r="K118" s="43">
        <f t="shared" si="133"/>
        <v>24.200000000000003</v>
      </c>
      <c r="L118" s="43">
        <f t="shared" si="133"/>
        <v>24.200000000000003</v>
      </c>
      <c r="M118" s="43">
        <f t="shared" si="133"/>
        <v>24.200000000000003</v>
      </c>
      <c r="N118" s="43">
        <f t="shared" si="133"/>
        <v>24.200000000000003</v>
      </c>
      <c r="O118" s="43">
        <f t="shared" si="133"/>
        <v>24.200000000000003</v>
      </c>
      <c r="P118" s="43">
        <f t="shared" si="133"/>
        <v>24.200000000000003</v>
      </c>
      <c r="Q118" s="43">
        <f t="shared" si="133"/>
        <v>24.200000000000003</v>
      </c>
      <c r="R118" s="43">
        <f t="shared" si="133"/>
        <v>24.200000000000003</v>
      </c>
      <c r="S118" s="43">
        <f t="shared" si="133"/>
        <v>24.200000000000003</v>
      </c>
      <c r="T118" s="43">
        <f t="shared" si="133"/>
        <v>24.200000000000003</v>
      </c>
      <c r="U118" s="43">
        <f t="shared" si="133"/>
        <v>24.200000000000003</v>
      </c>
      <c r="V118" s="43">
        <f t="shared" si="133"/>
        <v>24.200000000000003</v>
      </c>
      <c r="W118" s="43">
        <f t="shared" ref="W118" si="134">(W64-W24)*1</f>
        <v>24.200000000000003</v>
      </c>
    </row>
    <row r="119" spans="1:23" x14ac:dyDescent="0.3">
      <c r="A119" s="9" t="s">
        <v>512</v>
      </c>
      <c r="B119" s="67">
        <f>B95+B116*(1-B36)-B117-B107-B102+B118</f>
        <v>760.96329755562067</v>
      </c>
      <c r="C119" s="67">
        <f>C95+C116*(1-C36)-C117-C107-C102+C118</f>
        <v>564.08570093707397</v>
      </c>
      <c r="D119" s="67">
        <f>D95+D116*(1-D36)-D117-D107-D102+D118</f>
        <v>356.4907201127088</v>
      </c>
      <c r="H119" s="67">
        <f t="shared" ref="H119:V119" si="135">H95+H116*(1-H36)-H117-H107-H102+H118</f>
        <v>564.08570093707397</v>
      </c>
      <c r="I119" s="67">
        <f t="shared" si="135"/>
        <v>920.04720093707397</v>
      </c>
      <c r="J119" s="67">
        <f t="shared" si="135"/>
        <v>212.74328173707414</v>
      </c>
      <c r="K119" s="67">
        <f t="shared" si="135"/>
        <v>520.84628093707386</v>
      </c>
      <c r="L119" s="67">
        <f t="shared" si="135"/>
        <v>536.63210093707414</v>
      </c>
      <c r="M119" s="67">
        <f t="shared" si="135"/>
        <v>564.08570093707397</v>
      </c>
      <c r="N119" s="67">
        <f t="shared" si="135"/>
        <v>564.08570093707397</v>
      </c>
      <c r="O119" s="67">
        <f t="shared" si="135"/>
        <v>676.85770093707413</v>
      </c>
      <c r="P119" s="67">
        <f t="shared" si="135"/>
        <v>526.70553884682306</v>
      </c>
      <c r="Q119" s="67">
        <f t="shared" si="135"/>
        <v>598.41818415966316</v>
      </c>
      <c r="R119" s="67">
        <f t="shared" si="135"/>
        <v>548.78701664300127</v>
      </c>
      <c r="S119" s="67">
        <f t="shared" si="135"/>
        <v>564.08570093707397</v>
      </c>
      <c r="T119" s="67">
        <f t="shared" si="135"/>
        <v>564.08570093707397</v>
      </c>
      <c r="U119" s="67">
        <f t="shared" si="135"/>
        <v>590.56824456964944</v>
      </c>
      <c r="V119" s="67">
        <f t="shared" si="135"/>
        <v>564.08570093707397</v>
      </c>
      <c r="W119" s="67">
        <f t="shared" ref="W119" si="136">W95+W116*(1-W36)-W117-W107-W102+W118</f>
        <v>568.17885684019018</v>
      </c>
    </row>
    <row r="120" spans="1:23" x14ac:dyDescent="0.3">
      <c r="A120" s="14" t="s">
        <v>513</v>
      </c>
      <c r="B120" s="43">
        <f>B96+B116*(1-B36)-B117</f>
        <v>2427.7942975556207</v>
      </c>
      <c r="C120" s="43">
        <f>C96+C116*(1-C36)-C117</f>
        <v>2539.1892124370738</v>
      </c>
      <c r="D120" s="43">
        <f>D96+D116*(1-D36)-D117</f>
        <v>2704.4063076127081</v>
      </c>
      <c r="H120" s="43">
        <f t="shared" ref="H120:V120" si="137">H96+H116*(1-H36)-H117</f>
        <v>2539.1892124370738</v>
      </c>
      <c r="I120" s="43">
        <f t="shared" si="137"/>
        <v>2539.1892124370738</v>
      </c>
      <c r="J120" s="43">
        <f t="shared" si="137"/>
        <v>2543.8082932370735</v>
      </c>
      <c r="K120" s="43">
        <f t="shared" si="137"/>
        <v>2495.9497924370739</v>
      </c>
      <c r="L120" s="43">
        <f t="shared" si="137"/>
        <v>2511.7356124370735</v>
      </c>
      <c r="M120" s="43">
        <f t="shared" si="137"/>
        <v>2539.1892124370738</v>
      </c>
      <c r="N120" s="43">
        <f t="shared" si="137"/>
        <v>2539.1892124370738</v>
      </c>
      <c r="O120" s="43">
        <f t="shared" si="137"/>
        <v>2651.9612124370738</v>
      </c>
      <c r="P120" s="43">
        <f t="shared" si="137"/>
        <v>2501.8090503468229</v>
      </c>
      <c r="Q120" s="43">
        <f t="shared" si="137"/>
        <v>2573.5216956596628</v>
      </c>
      <c r="R120" s="43">
        <f t="shared" si="137"/>
        <v>2523.8905281430011</v>
      </c>
      <c r="S120" s="43">
        <f t="shared" si="137"/>
        <v>2539.1892124370738</v>
      </c>
      <c r="T120" s="43">
        <f t="shared" si="137"/>
        <v>2539.1892124370738</v>
      </c>
      <c r="U120" s="43">
        <f t="shared" si="137"/>
        <v>2565.6717560696497</v>
      </c>
      <c r="V120" s="43">
        <f t="shared" si="137"/>
        <v>2539.1892124370738</v>
      </c>
      <c r="W120" s="43">
        <f t="shared" ref="W120" si="138">W96+W116*(1-W36)-W117</f>
        <v>2543.2823683401898</v>
      </c>
    </row>
    <row r="121" spans="1:23" x14ac:dyDescent="0.3">
      <c r="A121" s="14" t="s">
        <v>514</v>
      </c>
      <c r="B121" s="43">
        <f>B117/(1+B44)^2</f>
        <v>88.919224348720576</v>
      </c>
      <c r="C121" s="43">
        <f>C117/(1+C44)^2</f>
        <v>133.37883652308085</v>
      </c>
      <c r="D121" s="43">
        <f>D117/(1+D44)^2</f>
        <v>177.83844869744115</v>
      </c>
      <c r="H121" s="43">
        <f t="shared" ref="H121:V121" si="139">H117/(1+H44)^2</f>
        <v>133.37883652308085</v>
      </c>
      <c r="I121" s="43">
        <f t="shared" si="139"/>
        <v>133.37883652308085</v>
      </c>
      <c r="J121" s="43">
        <f t="shared" si="139"/>
        <v>133.37883652308085</v>
      </c>
      <c r="K121" s="43">
        <f t="shared" si="139"/>
        <v>133.37883652308085</v>
      </c>
      <c r="L121" s="43">
        <f t="shared" si="139"/>
        <v>133.37883652308085</v>
      </c>
      <c r="M121" s="43">
        <f t="shared" si="139"/>
        <v>132.00802608798617</v>
      </c>
      <c r="N121" s="43">
        <f t="shared" si="139"/>
        <v>130.55598397259922</v>
      </c>
      <c r="O121" s="43">
        <f t="shared" si="139"/>
        <v>88.919224348720576</v>
      </c>
      <c r="P121" s="43">
        <f t="shared" si="139"/>
        <v>133.37883652308085</v>
      </c>
      <c r="Q121" s="43">
        <f t="shared" si="139"/>
        <v>133.37883652308085</v>
      </c>
      <c r="R121" s="43">
        <f t="shared" si="139"/>
        <v>133.37883652308085</v>
      </c>
      <c r="S121" s="43">
        <f t="shared" si="139"/>
        <v>133.37883652308085</v>
      </c>
      <c r="T121" s="43">
        <f t="shared" si="139"/>
        <v>133.37883652308085</v>
      </c>
      <c r="U121" s="43">
        <f t="shared" si="139"/>
        <v>133.37883652308085</v>
      </c>
      <c r="V121" s="43">
        <f t="shared" si="139"/>
        <v>134.93691380337899</v>
      </c>
      <c r="W121" s="43">
        <f t="shared" ref="W121" si="140">W117/(1+W44)^2</f>
        <v>133.37883652308085</v>
      </c>
    </row>
    <row r="122" spans="1:23" x14ac:dyDescent="0.3">
      <c r="A122" s="51" t="s">
        <v>516</v>
      </c>
      <c r="B122" s="52"/>
      <c r="C122" s="52"/>
      <c r="D122" s="52"/>
      <c r="E122" s="52"/>
      <c r="F122" s="52"/>
      <c r="G122" s="52"/>
      <c r="H122" s="52"/>
      <c r="I122" s="52"/>
      <c r="J122" s="52"/>
      <c r="K122" s="52"/>
      <c r="L122" s="52"/>
      <c r="M122" s="52"/>
      <c r="N122" s="52"/>
      <c r="O122" s="52"/>
      <c r="P122" s="52"/>
      <c r="Q122" s="52"/>
      <c r="R122" s="52"/>
      <c r="S122" s="52"/>
      <c r="T122" s="52"/>
      <c r="U122" s="52"/>
      <c r="V122" s="52"/>
      <c r="W122" s="52"/>
    </row>
    <row r="123" spans="1:23" x14ac:dyDescent="0.3">
      <c r="A123" s="14" t="s">
        <v>492</v>
      </c>
      <c r="B123" s="43">
        <f>B6*(1+B11)^2</f>
        <v>2200</v>
      </c>
      <c r="C123" s="43">
        <f>C6*(1+C11)^2</f>
        <v>2599.2049999999999</v>
      </c>
      <c r="D123" s="43">
        <f>D6*(1+D11)^2</f>
        <v>2976.75</v>
      </c>
      <c r="H123" s="43">
        <f t="shared" ref="H123:V123" si="141">H6*(1+H11)^2</f>
        <v>2599.2049999999999</v>
      </c>
      <c r="I123" s="43">
        <f t="shared" si="141"/>
        <v>2599.2049999999999</v>
      </c>
      <c r="J123" s="43">
        <f t="shared" si="141"/>
        <v>2599.2049999999999</v>
      </c>
      <c r="K123" s="43">
        <f t="shared" si="141"/>
        <v>2599.2049999999999</v>
      </c>
      <c r="L123" s="43">
        <f t="shared" si="141"/>
        <v>2599.2049999999999</v>
      </c>
      <c r="M123" s="43">
        <f t="shared" si="141"/>
        <v>2599.2049999999999</v>
      </c>
      <c r="N123" s="43">
        <f t="shared" si="141"/>
        <v>2599.2049999999999</v>
      </c>
      <c r="O123" s="43">
        <f t="shared" si="141"/>
        <v>2599.2049999999999</v>
      </c>
      <c r="P123" s="43">
        <f t="shared" si="141"/>
        <v>2298.7432674000001</v>
      </c>
      <c r="Q123" s="43">
        <f t="shared" si="141"/>
        <v>2875.1694906999996</v>
      </c>
      <c r="R123" s="43">
        <f t="shared" si="141"/>
        <v>2599.2049999999999</v>
      </c>
      <c r="S123" s="43">
        <f t="shared" si="141"/>
        <v>2599.2049999999999</v>
      </c>
      <c r="T123" s="43">
        <f t="shared" si="141"/>
        <v>2599.2049999999999</v>
      </c>
      <c r="U123" s="43">
        <f t="shared" si="141"/>
        <v>2599.2049999999999</v>
      </c>
      <c r="V123" s="43">
        <f t="shared" si="141"/>
        <v>2599.2049999999999</v>
      </c>
      <c r="W123" s="43">
        <f t="shared" ref="W123" si="142">W6*(1+W11)^2</f>
        <v>2599.2049999999999</v>
      </c>
    </row>
    <row r="124" spans="1:23" x14ac:dyDescent="0.3">
      <c r="A124" s="14" t="s">
        <v>493</v>
      </c>
      <c r="B124" s="43">
        <f>B40*B7+(B48-B9)*B123-B42*(1+B35)^2</f>
        <v>144.0440506005053</v>
      </c>
      <c r="C124" s="43">
        <f>C40*C7+(C48-C9)*C123-C42*(1+C35)^2</f>
        <v>223.96776742572112</v>
      </c>
      <c r="D124" s="43">
        <f>D40*D7+(D48-D9)*D123-D42*(1+D35)^2</f>
        <v>308.74863025002475</v>
      </c>
      <c r="H124" s="43">
        <f t="shared" ref="H124:V124" si="143">H40*H7+(H48-H9)*H123-H42*(1+H35)^2</f>
        <v>223.96776742572112</v>
      </c>
      <c r="I124" s="43">
        <f t="shared" si="143"/>
        <v>223.96776742572112</v>
      </c>
      <c r="J124" s="43">
        <f t="shared" si="143"/>
        <v>223.96776742572112</v>
      </c>
      <c r="K124" s="43">
        <f t="shared" si="143"/>
        <v>223.96776742572112</v>
      </c>
      <c r="L124" s="43">
        <f t="shared" si="143"/>
        <v>223.96776742572112</v>
      </c>
      <c r="M124" s="43">
        <f t="shared" si="143"/>
        <v>223.96776742572112</v>
      </c>
      <c r="N124" s="43">
        <f t="shared" si="143"/>
        <v>223.96776742572112</v>
      </c>
      <c r="O124" s="43">
        <f t="shared" si="143"/>
        <v>223.96776742572112</v>
      </c>
      <c r="P124" s="43">
        <f t="shared" si="143"/>
        <v>200.69302503588108</v>
      </c>
      <c r="Q124" s="43">
        <f t="shared" si="143"/>
        <v>245.34487383526434</v>
      </c>
      <c r="R124" s="43">
        <f t="shared" si="143"/>
        <v>214.44204800833788</v>
      </c>
      <c r="S124" s="43">
        <f t="shared" si="143"/>
        <v>223.96776742572112</v>
      </c>
      <c r="T124" s="43">
        <f t="shared" si="143"/>
        <v>223.96776742572112</v>
      </c>
      <c r="U124" s="43">
        <f t="shared" si="143"/>
        <v>240.45711221207378</v>
      </c>
      <c r="V124" s="43">
        <f t="shared" si="143"/>
        <v>223.96776742572112</v>
      </c>
      <c r="W124" s="43">
        <f t="shared" ref="W124" si="144">W40*W7+(W48-W9)*W123-W42*(1+W35)^2</f>
        <v>227.97561723840144</v>
      </c>
    </row>
    <row r="125" spans="1:23" x14ac:dyDescent="0.3">
      <c r="A125" s="14" t="s">
        <v>494</v>
      </c>
      <c r="B125" s="43">
        <f>B124*(1-B10)</f>
        <v>128.19920503444973</v>
      </c>
      <c r="C125" s="43">
        <f>C124*(1-C10)</f>
        <v>203.81066835740623</v>
      </c>
      <c r="D125" s="43">
        <f>D124*(1-D10)</f>
        <v>284.04873983002278</v>
      </c>
      <c r="H125" s="43">
        <f t="shared" ref="H125:V125" si="145">H124*(1-H10)</f>
        <v>203.81066835740623</v>
      </c>
      <c r="I125" s="43">
        <f t="shared" si="145"/>
        <v>203.81066835740623</v>
      </c>
      <c r="J125" s="43">
        <f t="shared" si="145"/>
        <v>203.81066835740623</v>
      </c>
      <c r="K125" s="43">
        <f t="shared" si="145"/>
        <v>203.81066835740623</v>
      </c>
      <c r="L125" s="43">
        <f t="shared" si="145"/>
        <v>203.81066835740623</v>
      </c>
      <c r="M125" s="43">
        <f t="shared" si="145"/>
        <v>203.81066835740623</v>
      </c>
      <c r="N125" s="43">
        <f t="shared" si="145"/>
        <v>203.81066835740623</v>
      </c>
      <c r="O125" s="43">
        <f t="shared" si="145"/>
        <v>203.81066835740623</v>
      </c>
      <c r="P125" s="43">
        <f t="shared" si="145"/>
        <v>182.63065278265179</v>
      </c>
      <c r="Q125" s="43">
        <f t="shared" si="145"/>
        <v>223.26383519009056</v>
      </c>
      <c r="R125" s="43">
        <f t="shared" si="145"/>
        <v>195.14226368758747</v>
      </c>
      <c r="S125" s="43">
        <f t="shared" si="145"/>
        <v>203.81066835740623</v>
      </c>
      <c r="T125" s="43">
        <f t="shared" si="145"/>
        <v>203.81066835740623</v>
      </c>
      <c r="U125" s="43">
        <f t="shared" si="145"/>
        <v>218.81597211298714</v>
      </c>
      <c r="V125" s="43">
        <f t="shared" si="145"/>
        <v>203.81066835740623</v>
      </c>
      <c r="W125" s="43">
        <f t="shared" ref="W125" si="146">W124*(1-W10)</f>
        <v>207.45781168694532</v>
      </c>
    </row>
    <row r="126" spans="1:23" x14ac:dyDescent="0.3">
      <c r="A126" s="14" t="s">
        <v>495</v>
      </c>
      <c r="B126" s="43">
        <f>B11*B56*(1+B11)^2</f>
        <v>0</v>
      </c>
      <c r="C126" s="43">
        <f>C11*C56*(1+C11)^2</f>
        <v>14.743380344999995</v>
      </c>
      <c r="D126" s="43">
        <f>D11*D56*(1+D11)^2</f>
        <v>25.535829374999999</v>
      </c>
      <c r="H126" s="43">
        <f t="shared" ref="H126:V126" si="147">H11*H56*(1+H11)^2</f>
        <v>14.743380344999995</v>
      </c>
      <c r="I126" s="43">
        <f t="shared" si="147"/>
        <v>14.743380344999995</v>
      </c>
      <c r="J126" s="43">
        <f t="shared" si="147"/>
        <v>14.743380344999995</v>
      </c>
      <c r="K126" s="43">
        <f t="shared" si="147"/>
        <v>14.743380344999995</v>
      </c>
      <c r="L126" s="43">
        <f t="shared" si="147"/>
        <v>14.743380344999995</v>
      </c>
      <c r="M126" s="43">
        <f t="shared" si="147"/>
        <v>14.743380344999995</v>
      </c>
      <c r="N126" s="43">
        <f t="shared" si="147"/>
        <v>14.743380344999995</v>
      </c>
      <c r="O126" s="43">
        <f t="shared" si="147"/>
        <v>14.743380344999995</v>
      </c>
      <c r="P126" s="43">
        <f t="shared" si="147"/>
        <v>14.743380344999995</v>
      </c>
      <c r="Q126" s="43">
        <f t="shared" si="147"/>
        <v>14.743380344999995</v>
      </c>
      <c r="R126" s="43">
        <f t="shared" si="147"/>
        <v>14.743380344999995</v>
      </c>
      <c r="S126" s="43">
        <f t="shared" si="147"/>
        <v>14.743380344999995</v>
      </c>
      <c r="T126" s="43">
        <f t="shared" si="147"/>
        <v>14.743380344999995</v>
      </c>
      <c r="U126" s="43">
        <f t="shared" si="147"/>
        <v>14.743380344999995</v>
      </c>
      <c r="V126" s="43">
        <f t="shared" si="147"/>
        <v>14.743380344999995</v>
      </c>
      <c r="W126" s="43">
        <f t="shared" ref="W126" si="148">W11*W56*(1+W11)^2</f>
        <v>14.743380344999995</v>
      </c>
    </row>
    <row r="127" spans="1:23" x14ac:dyDescent="0.3">
      <c r="A127" s="9" t="s">
        <v>496</v>
      </c>
      <c r="B127" s="67">
        <f>B125*(1-B36)-B126</f>
        <v>115.37928453100476</v>
      </c>
      <c r="C127" s="67">
        <f>C125*(1-C36)-C126</f>
        <v>168.68622117666561</v>
      </c>
      <c r="D127" s="67">
        <f>D125*(1-D36)-D126</f>
        <v>230.10803647202053</v>
      </c>
      <c r="H127" s="67">
        <f t="shared" ref="H127:V127" si="149">H125*(1-H36)-H126</f>
        <v>168.68622117666561</v>
      </c>
      <c r="I127" s="67">
        <f t="shared" si="149"/>
        <v>168.68622117666561</v>
      </c>
      <c r="J127" s="67">
        <f t="shared" si="149"/>
        <v>168.68622117666561</v>
      </c>
      <c r="K127" s="67">
        <f t="shared" si="149"/>
        <v>168.68622117666561</v>
      </c>
      <c r="L127" s="67">
        <f t="shared" si="149"/>
        <v>168.68622117666561</v>
      </c>
      <c r="M127" s="67">
        <f t="shared" si="149"/>
        <v>168.68622117666561</v>
      </c>
      <c r="N127" s="67">
        <f t="shared" si="149"/>
        <v>168.68622117666561</v>
      </c>
      <c r="O127" s="67">
        <f t="shared" si="149"/>
        <v>168.68622117666561</v>
      </c>
      <c r="P127" s="67">
        <f t="shared" si="149"/>
        <v>149.62420715938663</v>
      </c>
      <c r="Q127" s="67">
        <f t="shared" si="149"/>
        <v>186.19407132608151</v>
      </c>
      <c r="R127" s="67">
        <f t="shared" si="149"/>
        <v>160.88465697382873</v>
      </c>
      <c r="S127" s="67">
        <f t="shared" si="149"/>
        <v>168.68622117666561</v>
      </c>
      <c r="T127" s="67">
        <f t="shared" si="149"/>
        <v>168.68622117666561</v>
      </c>
      <c r="U127" s="67">
        <f t="shared" si="149"/>
        <v>182.19099455668845</v>
      </c>
      <c r="V127" s="67">
        <f t="shared" si="149"/>
        <v>168.68622117666561</v>
      </c>
      <c r="W127" s="67">
        <f t="shared" ref="W127" si="150">W125*(1-W36)-W126</f>
        <v>171.96865017325081</v>
      </c>
    </row>
    <row r="128" spans="1:23" x14ac:dyDescent="0.3">
      <c r="A128" s="14" t="s">
        <v>497</v>
      </c>
      <c r="B128" s="43">
        <f>B127/(1+B44)^3</f>
        <v>83.85564664270693</v>
      </c>
      <c r="C128" s="43">
        <f>C127/(1+C44)^3</f>
        <v>122.59819614917832</v>
      </c>
      <c r="D128" s="43">
        <f>D127/(1+D44)^3</f>
        <v>167.23849757327696</v>
      </c>
      <c r="H128" s="43">
        <f t="shared" ref="H128:V128" si="151">H127/(1+H44)^3</f>
        <v>122.59819614917832</v>
      </c>
      <c r="I128" s="43">
        <f t="shared" si="151"/>
        <v>122.59819614917832</v>
      </c>
      <c r="J128" s="43">
        <f t="shared" si="151"/>
        <v>122.59819614917832</v>
      </c>
      <c r="K128" s="43">
        <f t="shared" si="151"/>
        <v>122.59819614917832</v>
      </c>
      <c r="L128" s="43">
        <f t="shared" si="151"/>
        <v>122.59819614917832</v>
      </c>
      <c r="M128" s="43">
        <f t="shared" si="151"/>
        <v>120.71304323615266</v>
      </c>
      <c r="N128" s="43">
        <f t="shared" si="151"/>
        <v>118.72682844279343</v>
      </c>
      <c r="O128" s="43">
        <f t="shared" si="151"/>
        <v>122.59819614917832</v>
      </c>
      <c r="P128" s="43">
        <f t="shared" si="151"/>
        <v>108.74425765208412</v>
      </c>
      <c r="Q128" s="43">
        <f t="shared" si="151"/>
        <v>135.32259552095954</v>
      </c>
      <c r="R128" s="43">
        <f t="shared" si="151"/>
        <v>116.92815569336597</v>
      </c>
      <c r="S128" s="43">
        <f t="shared" si="151"/>
        <v>122.59819614917832</v>
      </c>
      <c r="T128" s="43">
        <f t="shared" si="151"/>
        <v>122.59819614917832</v>
      </c>
      <c r="U128" s="43">
        <f t="shared" si="151"/>
        <v>132.41322931694526</v>
      </c>
      <c r="V128" s="43">
        <f t="shared" si="151"/>
        <v>124.75267096758937</v>
      </c>
      <c r="W128" s="43">
        <f t="shared" ref="W128" si="152">W127/(1+W44)^3</f>
        <v>124.9838081521151</v>
      </c>
    </row>
    <row r="129" spans="1:23" x14ac:dyDescent="0.3">
      <c r="A129" s="14" t="s">
        <v>498</v>
      </c>
      <c r="B129" s="43">
        <f>0</f>
        <v>0</v>
      </c>
      <c r="C129" s="43">
        <f>0</f>
        <v>0</v>
      </c>
      <c r="D129" s="43">
        <f>0</f>
        <v>0</v>
      </c>
      <c r="H129" s="43">
        <f>0</f>
        <v>0</v>
      </c>
      <c r="I129" s="43">
        <f>0</f>
        <v>0</v>
      </c>
      <c r="J129" s="43">
        <f>0</f>
        <v>0</v>
      </c>
      <c r="K129" s="43">
        <f>0</f>
        <v>0</v>
      </c>
      <c r="L129" s="43">
        <f>0</f>
        <v>0</v>
      </c>
      <c r="M129" s="43">
        <f>0</f>
        <v>0</v>
      </c>
      <c r="N129" s="43">
        <f>0</f>
        <v>0</v>
      </c>
      <c r="O129" s="43">
        <f>0</f>
        <v>0</v>
      </c>
      <c r="P129" s="43">
        <f>0</f>
        <v>0</v>
      </c>
      <c r="Q129" s="43">
        <f>0</f>
        <v>0</v>
      </c>
      <c r="R129" s="43">
        <f>0</f>
        <v>0</v>
      </c>
      <c r="S129" s="43">
        <f>0</f>
        <v>0</v>
      </c>
      <c r="T129" s="43">
        <f>0</f>
        <v>0</v>
      </c>
      <c r="U129" s="43">
        <f>0</f>
        <v>0</v>
      </c>
      <c r="V129" s="43">
        <f>0</f>
        <v>0</v>
      </c>
      <c r="W129" s="43">
        <f>0</f>
        <v>0</v>
      </c>
    </row>
    <row r="130" spans="1:23" x14ac:dyDescent="0.3">
      <c r="A130" s="14" t="s">
        <v>499</v>
      </c>
      <c r="B130" s="43">
        <f>B69*(IF(B29-2029=1,0.5,0)+IF(B29-2029=2,0.5,0)+IF(AND(B29=2028,2029=2027),0.5,0))</f>
        <v>0</v>
      </c>
      <c r="C130" s="43">
        <f>C69*(IF(C29-2029=1,0.5,0)+IF(C29-2029=2,0.5,0)+IF(AND(C29=2028,2029=2027),0.5,0))</f>
        <v>355.9615</v>
      </c>
      <c r="D130" s="43">
        <f>D69*(IF(D29-2029=1,0.5,0)+IF(D29-2029=2,0.5,0)+IF(AND(D29=2028,2029=2027),0.5,0))</f>
        <v>0</v>
      </c>
      <c r="H130" s="43">
        <f t="shared" ref="H130:V130" si="153">H69*(IF(H29-2029=1,0.5,0)+IF(H29-2029=2,0.5,0)+IF(AND(H29=2028,2029=2027),0.5,0))</f>
        <v>355.9615</v>
      </c>
      <c r="I130" s="43">
        <f t="shared" si="153"/>
        <v>0</v>
      </c>
      <c r="J130" s="43">
        <f t="shared" si="153"/>
        <v>0</v>
      </c>
      <c r="K130" s="43">
        <f t="shared" si="153"/>
        <v>355.9615</v>
      </c>
      <c r="L130" s="43">
        <f t="shared" si="153"/>
        <v>355.9615</v>
      </c>
      <c r="M130" s="43">
        <f t="shared" si="153"/>
        <v>355.9615</v>
      </c>
      <c r="N130" s="43">
        <f t="shared" si="153"/>
        <v>355.9615</v>
      </c>
      <c r="O130" s="43">
        <f t="shared" si="153"/>
        <v>355.9615</v>
      </c>
      <c r="P130" s="43">
        <f t="shared" si="153"/>
        <v>355.9615</v>
      </c>
      <c r="Q130" s="43">
        <f t="shared" si="153"/>
        <v>355.9615</v>
      </c>
      <c r="R130" s="43">
        <f t="shared" si="153"/>
        <v>355.9615</v>
      </c>
      <c r="S130" s="43">
        <f t="shared" si="153"/>
        <v>355.9615</v>
      </c>
      <c r="T130" s="43">
        <f t="shared" si="153"/>
        <v>355.9615</v>
      </c>
      <c r="U130" s="43">
        <f t="shared" si="153"/>
        <v>355.9615</v>
      </c>
      <c r="V130" s="43">
        <f t="shared" si="153"/>
        <v>355.9615</v>
      </c>
      <c r="W130" s="43">
        <f t="shared" ref="W130" si="154">W69*(IF(W29-2029=1,0.5,0)+IF(W29-2029=2,0.5,0)+IF(AND(W29=2028,2029=2027),0.5,0))</f>
        <v>355.9615</v>
      </c>
    </row>
    <row r="131" spans="1:23" x14ac:dyDescent="0.3">
      <c r="A131" s="14" t="s">
        <v>500</v>
      </c>
      <c r="B131" s="43">
        <f>B129+B130</f>
        <v>0</v>
      </c>
      <c r="C131" s="43">
        <f>C129+C130</f>
        <v>355.9615</v>
      </c>
      <c r="D131" s="43">
        <f>D129+D130</f>
        <v>0</v>
      </c>
      <c r="H131" s="43">
        <f t="shared" ref="H131:V131" si="155">H129+H130</f>
        <v>355.9615</v>
      </c>
      <c r="I131" s="43">
        <f t="shared" si="155"/>
        <v>0</v>
      </c>
      <c r="J131" s="43">
        <f t="shared" si="155"/>
        <v>0</v>
      </c>
      <c r="K131" s="43">
        <f t="shared" si="155"/>
        <v>355.9615</v>
      </c>
      <c r="L131" s="43">
        <f t="shared" si="155"/>
        <v>355.9615</v>
      </c>
      <c r="M131" s="43">
        <f t="shared" si="155"/>
        <v>355.9615</v>
      </c>
      <c r="N131" s="43">
        <f t="shared" si="155"/>
        <v>355.9615</v>
      </c>
      <c r="O131" s="43">
        <f t="shared" si="155"/>
        <v>355.9615</v>
      </c>
      <c r="P131" s="43">
        <f t="shared" si="155"/>
        <v>355.9615</v>
      </c>
      <c r="Q131" s="43">
        <f t="shared" si="155"/>
        <v>355.9615</v>
      </c>
      <c r="R131" s="43">
        <f t="shared" si="155"/>
        <v>355.9615</v>
      </c>
      <c r="S131" s="43">
        <f t="shared" si="155"/>
        <v>355.9615</v>
      </c>
      <c r="T131" s="43">
        <f t="shared" si="155"/>
        <v>355.9615</v>
      </c>
      <c r="U131" s="43">
        <f t="shared" si="155"/>
        <v>355.9615</v>
      </c>
      <c r="V131" s="43">
        <f t="shared" si="155"/>
        <v>355.9615</v>
      </c>
      <c r="W131" s="43">
        <f t="shared" ref="W131" si="156">W129+W130</f>
        <v>355.9615</v>
      </c>
    </row>
    <row r="132" spans="1:23" x14ac:dyDescent="0.3">
      <c r="A132" s="14" t="s">
        <v>501</v>
      </c>
      <c r="B132" s="43">
        <f>B65*1+B68</f>
        <v>-4.3000000000000114</v>
      </c>
      <c r="C132" s="43">
        <f>C65*1+C68</f>
        <v>63.3</v>
      </c>
      <c r="D132" s="43">
        <f>D65*1+D68</f>
        <v>141.40000000000003</v>
      </c>
      <c r="H132" s="43">
        <f t="shared" ref="H132:V132" si="157">H65*1+H68</f>
        <v>63.3</v>
      </c>
      <c r="I132" s="43">
        <f t="shared" si="157"/>
        <v>63.3</v>
      </c>
      <c r="J132" s="43">
        <f t="shared" si="157"/>
        <v>63.3</v>
      </c>
      <c r="K132" s="43">
        <f t="shared" si="157"/>
        <v>31.799999999999997</v>
      </c>
      <c r="L132" s="43">
        <f t="shared" si="157"/>
        <v>43.3</v>
      </c>
      <c r="M132" s="43">
        <f t="shared" si="157"/>
        <v>63.3</v>
      </c>
      <c r="N132" s="43">
        <f t="shared" si="157"/>
        <v>63.3</v>
      </c>
      <c r="O132" s="43">
        <f t="shared" si="157"/>
        <v>63.3</v>
      </c>
      <c r="P132" s="43">
        <f t="shared" si="157"/>
        <v>63.3</v>
      </c>
      <c r="Q132" s="43">
        <f t="shared" si="157"/>
        <v>63.3</v>
      </c>
      <c r="R132" s="43">
        <f t="shared" si="157"/>
        <v>63.3</v>
      </c>
      <c r="S132" s="43">
        <f t="shared" si="157"/>
        <v>63.3</v>
      </c>
      <c r="T132" s="43">
        <f t="shared" si="157"/>
        <v>63.3</v>
      </c>
      <c r="U132" s="43">
        <f t="shared" si="157"/>
        <v>63.3</v>
      </c>
      <c r="V132" s="43">
        <f t="shared" si="157"/>
        <v>63.3</v>
      </c>
      <c r="W132" s="43">
        <f t="shared" ref="W132" si="158">W65*1+W68</f>
        <v>63.3</v>
      </c>
    </row>
    <row r="133" spans="1:23" x14ac:dyDescent="0.3">
      <c r="A133" s="14" t="s">
        <v>502</v>
      </c>
      <c r="B133" s="43">
        <f>B27*B30*IF(2029&gt;=B29,1,0)</f>
        <v>0</v>
      </c>
      <c r="C133" s="43">
        <f>C27*C30*IF(2029&gt;=C29,1,0)</f>
        <v>0</v>
      </c>
      <c r="D133" s="43">
        <f>D27*D30*IF(2029&gt;=D29,1,0)</f>
        <v>75</v>
      </c>
      <c r="H133" s="43">
        <f t="shared" ref="H133:V133" si="159">H27*H30*IF(2029&gt;=H29,1,0)</f>
        <v>0</v>
      </c>
      <c r="I133" s="43">
        <f t="shared" si="159"/>
        <v>0</v>
      </c>
      <c r="J133" s="43">
        <f t="shared" si="159"/>
        <v>45</v>
      </c>
      <c r="K133" s="43">
        <f t="shared" si="159"/>
        <v>0</v>
      </c>
      <c r="L133" s="43">
        <f t="shared" si="159"/>
        <v>0</v>
      </c>
      <c r="M133" s="43">
        <f t="shared" si="159"/>
        <v>0</v>
      </c>
      <c r="N133" s="43">
        <f t="shared" si="159"/>
        <v>0</v>
      </c>
      <c r="O133" s="43">
        <f t="shared" si="159"/>
        <v>0</v>
      </c>
      <c r="P133" s="43">
        <f t="shared" si="159"/>
        <v>0</v>
      </c>
      <c r="Q133" s="43">
        <f t="shared" si="159"/>
        <v>0</v>
      </c>
      <c r="R133" s="43">
        <f t="shared" si="159"/>
        <v>0</v>
      </c>
      <c r="S133" s="43">
        <f t="shared" si="159"/>
        <v>0</v>
      </c>
      <c r="T133" s="43">
        <f t="shared" si="159"/>
        <v>0</v>
      </c>
      <c r="U133" s="43">
        <f t="shared" si="159"/>
        <v>0</v>
      </c>
      <c r="V133" s="43">
        <f t="shared" si="159"/>
        <v>0</v>
      </c>
      <c r="W133" s="43">
        <f t="shared" ref="W133" si="160">W27*W30*IF(2029&gt;=W29,1,0)</f>
        <v>0</v>
      </c>
    </row>
    <row r="134" spans="1:23" x14ac:dyDescent="0.3">
      <c r="A134" s="14" t="s">
        <v>503</v>
      </c>
      <c r="B134" s="43">
        <f>B132+B133</f>
        <v>-4.3000000000000114</v>
      </c>
      <c r="C134" s="43">
        <f>C132+C133</f>
        <v>63.3</v>
      </c>
      <c r="D134" s="43">
        <f>D132+D133</f>
        <v>216.40000000000003</v>
      </c>
      <c r="H134" s="43">
        <f t="shared" ref="H134:V134" si="161">H132+H133</f>
        <v>63.3</v>
      </c>
      <c r="I134" s="43">
        <f t="shared" si="161"/>
        <v>63.3</v>
      </c>
      <c r="J134" s="43">
        <f t="shared" si="161"/>
        <v>108.3</v>
      </c>
      <c r="K134" s="43">
        <f t="shared" si="161"/>
        <v>31.799999999999997</v>
      </c>
      <c r="L134" s="43">
        <f t="shared" si="161"/>
        <v>43.3</v>
      </c>
      <c r="M134" s="43">
        <f t="shared" si="161"/>
        <v>63.3</v>
      </c>
      <c r="N134" s="43">
        <f t="shared" si="161"/>
        <v>63.3</v>
      </c>
      <c r="O134" s="43">
        <f t="shared" si="161"/>
        <v>63.3</v>
      </c>
      <c r="P134" s="43">
        <f t="shared" si="161"/>
        <v>63.3</v>
      </c>
      <c r="Q134" s="43">
        <f t="shared" si="161"/>
        <v>63.3</v>
      </c>
      <c r="R134" s="43">
        <f t="shared" si="161"/>
        <v>63.3</v>
      </c>
      <c r="S134" s="43">
        <f t="shared" si="161"/>
        <v>63.3</v>
      </c>
      <c r="T134" s="43">
        <f t="shared" si="161"/>
        <v>63.3</v>
      </c>
      <c r="U134" s="43">
        <f t="shared" si="161"/>
        <v>63.3</v>
      </c>
      <c r="V134" s="43">
        <f t="shared" si="161"/>
        <v>63.3</v>
      </c>
      <c r="W134" s="43">
        <f t="shared" ref="W134" si="162">W132+W133</f>
        <v>63.3</v>
      </c>
    </row>
    <row r="135" spans="1:23" x14ac:dyDescent="0.3">
      <c r="A135" s="14" t="s">
        <v>504</v>
      </c>
      <c r="B135" s="43">
        <f>B66*1+B68-B36*B132-B129</f>
        <v>24.129999999999988</v>
      </c>
      <c r="C135" s="43">
        <f>C66*1+C68-C36*C132-C129</f>
        <v>81.17</v>
      </c>
      <c r="D135" s="43">
        <f>D66*1+D68-D36*D132-D129</f>
        <v>151.46</v>
      </c>
      <c r="H135" s="43">
        <f t="shared" ref="H135:V135" si="163">H66*1+H68-H36*H132-H129</f>
        <v>81.17</v>
      </c>
      <c r="I135" s="43">
        <f t="shared" si="163"/>
        <v>81.17</v>
      </c>
      <c r="J135" s="43">
        <f t="shared" si="163"/>
        <v>81.17</v>
      </c>
      <c r="K135" s="43">
        <f t="shared" si="163"/>
        <v>52.82</v>
      </c>
      <c r="L135" s="43">
        <f t="shared" si="163"/>
        <v>63.17</v>
      </c>
      <c r="M135" s="43">
        <f t="shared" si="163"/>
        <v>81.17</v>
      </c>
      <c r="N135" s="43">
        <f t="shared" si="163"/>
        <v>81.17</v>
      </c>
      <c r="O135" s="43">
        <f t="shared" si="163"/>
        <v>81.17</v>
      </c>
      <c r="P135" s="43">
        <f t="shared" si="163"/>
        <v>81.17</v>
      </c>
      <c r="Q135" s="43">
        <f t="shared" si="163"/>
        <v>81.17</v>
      </c>
      <c r="R135" s="43">
        <f t="shared" si="163"/>
        <v>81.17</v>
      </c>
      <c r="S135" s="43">
        <f t="shared" si="163"/>
        <v>81.17</v>
      </c>
      <c r="T135" s="43">
        <f t="shared" si="163"/>
        <v>81.17</v>
      </c>
      <c r="U135" s="43">
        <f t="shared" si="163"/>
        <v>81.17</v>
      </c>
      <c r="V135" s="43">
        <f t="shared" si="163"/>
        <v>81.17</v>
      </c>
      <c r="W135" s="43">
        <f t="shared" ref="W135" si="164">W66*1+W68-W36*W132-W129</f>
        <v>81.17</v>
      </c>
    </row>
    <row r="136" spans="1:23" x14ac:dyDescent="0.3">
      <c r="A136" s="14" t="s">
        <v>505</v>
      </c>
      <c r="B136" s="43">
        <f>B133*(1-B36)-B130</f>
        <v>0</v>
      </c>
      <c r="C136" s="43">
        <f>C133*(1-C36)-C130</f>
        <v>-355.9615</v>
      </c>
      <c r="D136" s="43">
        <f>D133*(1-D36)-D130</f>
        <v>67.5</v>
      </c>
      <c r="H136" s="43">
        <f t="shared" ref="H136:V136" si="165">H133*(1-H36)-H130</f>
        <v>-355.9615</v>
      </c>
      <c r="I136" s="43">
        <f t="shared" si="165"/>
        <v>0</v>
      </c>
      <c r="J136" s="43">
        <f t="shared" si="165"/>
        <v>40.5</v>
      </c>
      <c r="K136" s="43">
        <f t="shared" si="165"/>
        <v>-355.9615</v>
      </c>
      <c r="L136" s="43">
        <f t="shared" si="165"/>
        <v>-355.9615</v>
      </c>
      <c r="M136" s="43">
        <f t="shared" si="165"/>
        <v>-355.9615</v>
      </c>
      <c r="N136" s="43">
        <f t="shared" si="165"/>
        <v>-355.9615</v>
      </c>
      <c r="O136" s="43">
        <f t="shared" si="165"/>
        <v>-355.9615</v>
      </c>
      <c r="P136" s="43">
        <f t="shared" si="165"/>
        <v>-355.9615</v>
      </c>
      <c r="Q136" s="43">
        <f t="shared" si="165"/>
        <v>-355.9615</v>
      </c>
      <c r="R136" s="43">
        <f t="shared" si="165"/>
        <v>-355.9615</v>
      </c>
      <c r="S136" s="43">
        <f t="shared" si="165"/>
        <v>-355.9615</v>
      </c>
      <c r="T136" s="43">
        <f t="shared" si="165"/>
        <v>-355.9615</v>
      </c>
      <c r="U136" s="43">
        <f t="shared" si="165"/>
        <v>-355.9615</v>
      </c>
      <c r="V136" s="43">
        <f t="shared" si="165"/>
        <v>-355.9615</v>
      </c>
      <c r="W136" s="43">
        <f t="shared" ref="W136" si="166">W133*(1-W36)-W130</f>
        <v>-355.9615</v>
      </c>
    </row>
    <row r="137" spans="1:23" x14ac:dyDescent="0.3">
      <c r="A137" s="14" t="s">
        <v>506</v>
      </c>
      <c r="B137" s="43">
        <f>B135/(1+B45)^3</f>
        <v>16.983475889973302</v>
      </c>
      <c r="C137" s="43">
        <f>C135/(1+C45)^3</f>
        <v>57.130076170291488</v>
      </c>
      <c r="D137" s="43">
        <f>D135/(1+D45)^3</f>
        <v>106.60245579342552</v>
      </c>
      <c r="H137" s="43">
        <f t="shared" ref="H137:V137" si="167">H135/(1+H45)^3</f>
        <v>57.130076170291488</v>
      </c>
      <c r="I137" s="43">
        <f t="shared" si="167"/>
        <v>57.130076170291488</v>
      </c>
      <c r="J137" s="43">
        <f t="shared" si="167"/>
        <v>57.130076170291488</v>
      </c>
      <c r="K137" s="43">
        <f t="shared" si="167"/>
        <v>37.176427538681736</v>
      </c>
      <c r="L137" s="43">
        <f t="shared" si="167"/>
        <v>44.461092912126567</v>
      </c>
      <c r="M137" s="43">
        <f t="shared" si="167"/>
        <v>56.105796374289717</v>
      </c>
      <c r="N137" s="43">
        <f t="shared" si="167"/>
        <v>57.130076170291488</v>
      </c>
      <c r="O137" s="43">
        <f t="shared" si="167"/>
        <v>57.130076170291488</v>
      </c>
      <c r="P137" s="43">
        <f t="shared" si="167"/>
        <v>57.130076170291488</v>
      </c>
      <c r="Q137" s="43">
        <f t="shared" si="167"/>
        <v>57.130076170291488</v>
      </c>
      <c r="R137" s="43">
        <f t="shared" si="167"/>
        <v>57.130076170291488</v>
      </c>
      <c r="S137" s="43">
        <f t="shared" si="167"/>
        <v>57.130076170291488</v>
      </c>
      <c r="T137" s="43">
        <f t="shared" si="167"/>
        <v>57.130076170291488</v>
      </c>
      <c r="U137" s="43">
        <f t="shared" si="167"/>
        <v>57.130076170291488</v>
      </c>
      <c r="V137" s="43">
        <f t="shared" si="167"/>
        <v>57.130076170291488</v>
      </c>
      <c r="W137" s="43">
        <f t="shared" ref="W137" si="168">W135/(1+W45)^3</f>
        <v>57.130076170291488</v>
      </c>
    </row>
    <row r="138" spans="1:23" x14ac:dyDescent="0.3">
      <c r="A138" s="14" t="s">
        <v>507</v>
      </c>
      <c r="B138" s="43">
        <f>B136/(1+B45)^3</f>
        <v>0</v>
      </c>
      <c r="C138" s="43">
        <f>C136/(1+C45)^3</f>
        <v>-250.53723800284851</v>
      </c>
      <c r="D138" s="43">
        <f>D136/(1+D45)^3</f>
        <v>47.50868721811846</v>
      </c>
      <c r="H138" s="43">
        <f t="shared" ref="H138:V138" si="169">H136/(1+H45)^3</f>
        <v>-250.53723800284851</v>
      </c>
      <c r="I138" s="43">
        <f t="shared" si="169"/>
        <v>0</v>
      </c>
      <c r="J138" s="43">
        <f t="shared" si="169"/>
        <v>28.505212330871075</v>
      </c>
      <c r="K138" s="43">
        <f t="shared" si="169"/>
        <v>-250.53723800284851</v>
      </c>
      <c r="L138" s="43">
        <f t="shared" si="169"/>
        <v>-250.53723800284851</v>
      </c>
      <c r="M138" s="43">
        <f t="shared" si="169"/>
        <v>-246.04537927912688</v>
      </c>
      <c r="N138" s="43">
        <f t="shared" si="169"/>
        <v>-250.53723800284851</v>
      </c>
      <c r="O138" s="43">
        <f t="shared" si="169"/>
        <v>-250.53723800284851</v>
      </c>
      <c r="P138" s="43">
        <f t="shared" si="169"/>
        <v>-250.53723800284851</v>
      </c>
      <c r="Q138" s="43">
        <f t="shared" si="169"/>
        <v>-250.53723800284851</v>
      </c>
      <c r="R138" s="43">
        <f t="shared" si="169"/>
        <v>-250.53723800284851</v>
      </c>
      <c r="S138" s="43">
        <f t="shared" si="169"/>
        <v>-250.53723800284851</v>
      </c>
      <c r="T138" s="43">
        <f t="shared" si="169"/>
        <v>-250.53723800284851</v>
      </c>
      <c r="U138" s="43">
        <f t="shared" si="169"/>
        <v>-250.53723800284851</v>
      </c>
      <c r="V138" s="43">
        <f t="shared" si="169"/>
        <v>-250.53723800284851</v>
      </c>
      <c r="W138" s="43">
        <f t="shared" ref="W138" si="170">W136/(1+W45)^3</f>
        <v>-250.53723800284851</v>
      </c>
    </row>
    <row r="139" spans="1:23" x14ac:dyDescent="0.3">
      <c r="A139" s="14" t="s">
        <v>508</v>
      </c>
      <c r="B139" s="43">
        <f>IF(B119&gt;0,B16,B38)*B119</f>
        <v>49.462614341115348</v>
      </c>
      <c r="C139" s="43">
        <f>IF(C119&gt;0,C16,C38)*C119</f>
        <v>39.48599906559518</v>
      </c>
      <c r="D139" s="43">
        <f>IF(D119&gt;0,D16,D38)*D119</f>
        <v>26.736804008453159</v>
      </c>
      <c r="H139" s="43">
        <f t="shared" ref="H139:V139" si="171">IF(H119&gt;0,H16,H38)*H119</f>
        <v>39.48599906559518</v>
      </c>
      <c r="I139" s="43">
        <f t="shared" si="171"/>
        <v>64.403304065595179</v>
      </c>
      <c r="J139" s="43">
        <f t="shared" si="171"/>
        <v>14.892029721595192</v>
      </c>
      <c r="K139" s="43">
        <f t="shared" si="171"/>
        <v>36.45923966559517</v>
      </c>
      <c r="L139" s="43">
        <f t="shared" si="171"/>
        <v>37.564247065595197</v>
      </c>
      <c r="M139" s="43">
        <f t="shared" si="171"/>
        <v>39.48599906559518</v>
      </c>
      <c r="N139" s="43">
        <f t="shared" si="171"/>
        <v>39.48599906559518</v>
      </c>
      <c r="O139" s="43">
        <f t="shared" si="171"/>
        <v>47.380039065595192</v>
      </c>
      <c r="P139" s="43">
        <f t="shared" si="171"/>
        <v>36.869387719277618</v>
      </c>
      <c r="Q139" s="43">
        <f t="shared" si="171"/>
        <v>41.889272891176425</v>
      </c>
      <c r="R139" s="43">
        <f t="shared" si="171"/>
        <v>38.415091165010089</v>
      </c>
      <c r="S139" s="43">
        <f t="shared" si="171"/>
        <v>39.48599906559518</v>
      </c>
      <c r="T139" s="43">
        <f t="shared" si="171"/>
        <v>39.48599906559518</v>
      </c>
      <c r="U139" s="43">
        <f t="shared" si="171"/>
        <v>41.339777119875464</v>
      </c>
      <c r="V139" s="43">
        <f t="shared" si="171"/>
        <v>39.48599906559518</v>
      </c>
      <c r="W139" s="43">
        <f t="shared" ref="W139" si="172">IF(W119&gt;0,W16,W38)*W119</f>
        <v>39.772519978813314</v>
      </c>
    </row>
    <row r="140" spans="1:23" x14ac:dyDescent="0.3">
      <c r="A140" s="14" t="s">
        <v>509</v>
      </c>
      <c r="B140" s="43">
        <f>B125+B134+B139*(1-B37)</f>
        <v>163.46929650734199</v>
      </c>
      <c r="C140" s="43">
        <f>C125+C134+C139*(1-C37)</f>
        <v>298.69946760988233</v>
      </c>
      <c r="D140" s="43">
        <f>D125+D134+D139*(1-D37)</f>
        <v>521.83818303678538</v>
      </c>
      <c r="H140" s="43">
        <f t="shared" ref="H140:V140" si="173">H125+H134+H139*(1-H37)</f>
        <v>298.69946760988233</v>
      </c>
      <c r="I140" s="43">
        <f t="shared" si="173"/>
        <v>318.63331160988236</v>
      </c>
      <c r="J140" s="43">
        <f t="shared" si="173"/>
        <v>324.02429213468236</v>
      </c>
      <c r="K140" s="43">
        <f t="shared" si="173"/>
        <v>264.77806008988233</v>
      </c>
      <c r="L140" s="43">
        <f t="shared" si="173"/>
        <v>277.16206600988238</v>
      </c>
      <c r="M140" s="43">
        <f t="shared" si="173"/>
        <v>298.69946760988233</v>
      </c>
      <c r="N140" s="43">
        <f t="shared" si="173"/>
        <v>298.69946760988233</v>
      </c>
      <c r="O140" s="43">
        <f t="shared" si="173"/>
        <v>305.01469960988237</v>
      </c>
      <c r="P140" s="43">
        <f t="shared" si="173"/>
        <v>275.42616295807392</v>
      </c>
      <c r="Q140" s="43">
        <f t="shared" si="173"/>
        <v>320.07525350303172</v>
      </c>
      <c r="R140" s="43">
        <f t="shared" si="173"/>
        <v>289.17433661959552</v>
      </c>
      <c r="S140" s="43">
        <f t="shared" si="173"/>
        <v>298.69946760988233</v>
      </c>
      <c r="T140" s="43">
        <f t="shared" si="173"/>
        <v>298.69946760988233</v>
      </c>
      <c r="U140" s="43">
        <f t="shared" si="173"/>
        <v>315.18779380888753</v>
      </c>
      <c r="V140" s="43">
        <f t="shared" si="173"/>
        <v>298.69946760988233</v>
      </c>
      <c r="W140" s="43">
        <f t="shared" ref="W140" si="174">W125+W134+W139*(1-W37)</f>
        <v>302.57582766999599</v>
      </c>
    </row>
    <row r="141" spans="1:23" x14ac:dyDescent="0.3">
      <c r="A141" s="14" t="s">
        <v>510</v>
      </c>
      <c r="B141" s="27">
        <f>B15*'01_Số liệu gốc'!$B$8/1000</f>
        <v>110</v>
      </c>
      <c r="C141" s="27">
        <f>C15*'01_Số liệu gốc'!$B$8/1000</f>
        <v>165</v>
      </c>
      <c r="D141" s="27">
        <f>D15*'01_Số liệu gốc'!$B$8/1000</f>
        <v>220</v>
      </c>
      <c r="H141" s="27">
        <f>H15*'01_Số liệu gốc'!$B$8/1000</f>
        <v>165</v>
      </c>
      <c r="I141" s="27">
        <f>I15*'01_Số liệu gốc'!$B$8/1000</f>
        <v>165</v>
      </c>
      <c r="J141" s="27">
        <f>J15*'01_Số liệu gốc'!$B$8/1000</f>
        <v>165</v>
      </c>
      <c r="K141" s="27">
        <f>K15*'01_Số liệu gốc'!$B$8/1000</f>
        <v>165</v>
      </c>
      <c r="L141" s="27">
        <f>L15*'01_Số liệu gốc'!$B$8/1000</f>
        <v>165</v>
      </c>
      <c r="M141" s="27">
        <f>M15*'01_Số liệu gốc'!$B$8/1000</f>
        <v>165</v>
      </c>
      <c r="N141" s="27">
        <f>N15*'01_Số liệu gốc'!$B$8/1000</f>
        <v>165</v>
      </c>
      <c r="O141" s="27">
        <f>O15*'01_Số liệu gốc'!$B$8/1000</f>
        <v>110</v>
      </c>
      <c r="P141" s="27">
        <f>P15*'01_Số liệu gốc'!$B$8/1000</f>
        <v>165</v>
      </c>
      <c r="Q141" s="27">
        <f>Q15*'01_Số liệu gốc'!$B$8/1000</f>
        <v>165</v>
      </c>
      <c r="R141" s="27">
        <f>R15*'01_Số liệu gốc'!$B$8/1000</f>
        <v>165</v>
      </c>
      <c r="S141" s="27">
        <f>S15*'01_Số liệu gốc'!$B$8/1000</f>
        <v>165</v>
      </c>
      <c r="T141" s="27">
        <f>T15*'01_Số liệu gốc'!$B$8/1000</f>
        <v>165</v>
      </c>
      <c r="U141" s="27">
        <f>U15*'01_Số liệu gốc'!$B$8/1000</f>
        <v>165</v>
      </c>
      <c r="V141" s="27">
        <f>V15*'01_Số liệu gốc'!$B$8/1000</f>
        <v>165</v>
      </c>
      <c r="W141" s="27">
        <f>W15*'01_Số liệu gốc'!$B$8/1000</f>
        <v>165</v>
      </c>
    </row>
    <row r="142" spans="1:23" x14ac:dyDescent="0.3">
      <c r="A142" s="14" t="s">
        <v>511</v>
      </c>
      <c r="B142" s="43">
        <f>(B64-B24)*1</f>
        <v>28</v>
      </c>
      <c r="C142" s="43">
        <f>(C64-C24)*1</f>
        <v>24.200000000000003</v>
      </c>
      <c r="D142" s="43">
        <f>(D64-D24)*1</f>
        <v>24.200000000000003</v>
      </c>
      <c r="H142" s="43">
        <f t="shared" ref="H142:V142" si="175">(H64-H24)*1</f>
        <v>24.200000000000003</v>
      </c>
      <c r="I142" s="43">
        <f t="shared" si="175"/>
        <v>24.200000000000003</v>
      </c>
      <c r="J142" s="43">
        <f t="shared" si="175"/>
        <v>24.200000000000003</v>
      </c>
      <c r="K142" s="43">
        <f t="shared" si="175"/>
        <v>24.200000000000003</v>
      </c>
      <c r="L142" s="43">
        <f t="shared" si="175"/>
        <v>24.200000000000003</v>
      </c>
      <c r="M142" s="43">
        <f t="shared" si="175"/>
        <v>24.200000000000003</v>
      </c>
      <c r="N142" s="43">
        <f t="shared" si="175"/>
        <v>24.200000000000003</v>
      </c>
      <c r="O142" s="43">
        <f t="shared" si="175"/>
        <v>24.200000000000003</v>
      </c>
      <c r="P142" s="43">
        <f t="shared" si="175"/>
        <v>24.200000000000003</v>
      </c>
      <c r="Q142" s="43">
        <f t="shared" si="175"/>
        <v>24.200000000000003</v>
      </c>
      <c r="R142" s="43">
        <f t="shared" si="175"/>
        <v>24.200000000000003</v>
      </c>
      <c r="S142" s="43">
        <f t="shared" si="175"/>
        <v>24.200000000000003</v>
      </c>
      <c r="T142" s="43">
        <f t="shared" si="175"/>
        <v>24.200000000000003</v>
      </c>
      <c r="U142" s="43">
        <f t="shared" si="175"/>
        <v>24.200000000000003</v>
      </c>
      <c r="V142" s="43">
        <f t="shared" si="175"/>
        <v>24.200000000000003</v>
      </c>
      <c r="W142" s="43">
        <f t="shared" ref="W142" si="176">(W64-W24)*1</f>
        <v>24.200000000000003</v>
      </c>
    </row>
    <row r="143" spans="1:23" x14ac:dyDescent="0.3">
      <c r="A143" s="9" t="s">
        <v>512</v>
      </c>
      <c r="B143" s="67">
        <f>B119+B140*(1-B36)-B141-B131-B126+B142</f>
        <v>826.08566441222843</v>
      </c>
      <c r="C143" s="67">
        <f>C119+C140*(1-C36)-C141-C131-C126+C142</f>
        <v>321.41034144096801</v>
      </c>
      <c r="D143" s="67">
        <f>D119+D140*(1-D36)-D141-D131-D126+D142</f>
        <v>604.80925547081563</v>
      </c>
      <c r="H143" s="67">
        <f t="shared" ref="H143:V143" si="177">H119+H140*(1-H36)-H141-H131-H126+H142</f>
        <v>321.41034144096801</v>
      </c>
      <c r="I143" s="67">
        <f t="shared" si="177"/>
        <v>1051.273801040968</v>
      </c>
      <c r="J143" s="67">
        <f t="shared" si="177"/>
        <v>348.82176431328827</v>
      </c>
      <c r="K143" s="67">
        <f t="shared" si="177"/>
        <v>247.64165467296795</v>
      </c>
      <c r="L143" s="67">
        <f t="shared" si="177"/>
        <v>274.57308000096822</v>
      </c>
      <c r="M143" s="67">
        <f t="shared" si="177"/>
        <v>321.41034144096801</v>
      </c>
      <c r="N143" s="67">
        <f t="shared" si="177"/>
        <v>321.41034144096801</v>
      </c>
      <c r="O143" s="67">
        <f t="shared" si="177"/>
        <v>494.86605024096826</v>
      </c>
      <c r="P143" s="67">
        <f t="shared" si="177"/>
        <v>263.08420516408961</v>
      </c>
      <c r="Q143" s="67">
        <f t="shared" si="177"/>
        <v>374.98103196739174</v>
      </c>
      <c r="R143" s="67">
        <f t="shared" si="177"/>
        <v>297.53903925563731</v>
      </c>
      <c r="S143" s="67">
        <f t="shared" si="177"/>
        <v>321.41034144096801</v>
      </c>
      <c r="T143" s="67">
        <f t="shared" si="177"/>
        <v>321.41034144096801</v>
      </c>
      <c r="U143" s="67">
        <f t="shared" si="177"/>
        <v>362.73237865264826</v>
      </c>
      <c r="V143" s="67">
        <f t="shared" si="177"/>
        <v>321.41034144096801</v>
      </c>
      <c r="W143" s="67">
        <f t="shared" ref="W143" si="178">W119+W140*(1-W36)-W141-W131-W126+W142</f>
        <v>328.99222139818659</v>
      </c>
    </row>
    <row r="144" spans="1:23" x14ac:dyDescent="0.3">
      <c r="A144" s="14" t="s">
        <v>513</v>
      </c>
      <c r="B144" s="43">
        <f>B120+B140*(1-B36)-B141</f>
        <v>2464.9166644122283</v>
      </c>
      <c r="C144" s="43">
        <f>C120+C140*(1-C36)-C141</f>
        <v>2643.0187332859678</v>
      </c>
      <c r="D144" s="43">
        <f>D120+D140*(1-D36)-D141</f>
        <v>2954.060672345815</v>
      </c>
      <c r="H144" s="43">
        <f t="shared" ref="H144:V144" si="179">H120+H140*(1-H36)-H141</f>
        <v>2643.0187332859678</v>
      </c>
      <c r="I144" s="43">
        <f t="shared" si="179"/>
        <v>2660.9591928859682</v>
      </c>
      <c r="J144" s="43">
        <f t="shared" si="179"/>
        <v>2670.4301561582874</v>
      </c>
      <c r="K144" s="43">
        <f t="shared" si="179"/>
        <v>2569.2500465179683</v>
      </c>
      <c r="L144" s="43">
        <f t="shared" si="179"/>
        <v>2596.1814718459677</v>
      </c>
      <c r="M144" s="43">
        <f t="shared" si="179"/>
        <v>2643.0187332859678</v>
      </c>
      <c r="N144" s="43">
        <f t="shared" si="179"/>
        <v>2643.0187332859678</v>
      </c>
      <c r="O144" s="43">
        <f t="shared" si="179"/>
        <v>2816.4744420859679</v>
      </c>
      <c r="P144" s="43">
        <f t="shared" si="179"/>
        <v>2584.6925970090892</v>
      </c>
      <c r="Q144" s="43">
        <f t="shared" si="179"/>
        <v>2696.5894238123915</v>
      </c>
      <c r="R144" s="43">
        <f t="shared" si="179"/>
        <v>2619.1474311006373</v>
      </c>
      <c r="S144" s="43">
        <f t="shared" si="179"/>
        <v>2643.0187332859678</v>
      </c>
      <c r="T144" s="43">
        <f t="shared" si="179"/>
        <v>2643.0187332859678</v>
      </c>
      <c r="U144" s="43">
        <f t="shared" si="179"/>
        <v>2684.3407704976485</v>
      </c>
      <c r="V144" s="43">
        <f t="shared" si="179"/>
        <v>2643.0187332859678</v>
      </c>
      <c r="W144" s="43">
        <f t="shared" ref="W144" si="180">W120+W140*(1-W36)-W141</f>
        <v>2650.6006132431862</v>
      </c>
    </row>
    <row r="145" spans="1:23" x14ac:dyDescent="0.3">
      <c r="A145" s="14" t="s">
        <v>514</v>
      </c>
      <c r="B145" s="43">
        <f>B141/(1+B44)^3</f>
        <v>79.946076699921406</v>
      </c>
      <c r="C145" s="43">
        <f>C141/(1+C44)^3</f>
        <v>119.91911504988211</v>
      </c>
      <c r="D145" s="43">
        <f>D141/(1+D44)^3</f>
        <v>159.89215339984281</v>
      </c>
      <c r="H145" s="43">
        <f t="shared" ref="H145:V145" si="181">H141/(1+H44)^3</f>
        <v>119.91911504988211</v>
      </c>
      <c r="I145" s="43">
        <f t="shared" si="181"/>
        <v>119.91911504988211</v>
      </c>
      <c r="J145" s="43">
        <f t="shared" si="181"/>
        <v>119.91911504988211</v>
      </c>
      <c r="K145" s="43">
        <f t="shared" si="181"/>
        <v>119.91911504988211</v>
      </c>
      <c r="L145" s="43">
        <f t="shared" si="181"/>
        <v>119.91911504988211</v>
      </c>
      <c r="M145" s="43">
        <f t="shared" si="181"/>
        <v>118.075157502671</v>
      </c>
      <c r="N145" s="43">
        <f t="shared" si="181"/>
        <v>116.13234653317846</v>
      </c>
      <c r="O145" s="43">
        <f t="shared" si="181"/>
        <v>79.946076699921406</v>
      </c>
      <c r="P145" s="43">
        <f t="shared" si="181"/>
        <v>119.91911504988211</v>
      </c>
      <c r="Q145" s="43">
        <f t="shared" si="181"/>
        <v>119.91911504988211</v>
      </c>
      <c r="R145" s="43">
        <f t="shared" si="181"/>
        <v>119.91911504988211</v>
      </c>
      <c r="S145" s="43">
        <f t="shared" si="181"/>
        <v>119.91911504988211</v>
      </c>
      <c r="T145" s="43">
        <f t="shared" si="181"/>
        <v>119.91911504988211</v>
      </c>
      <c r="U145" s="43">
        <f t="shared" si="181"/>
        <v>119.91911504988211</v>
      </c>
      <c r="V145" s="43">
        <f t="shared" si="181"/>
        <v>122.02650913671459</v>
      </c>
      <c r="W145" s="43">
        <f t="shared" ref="W145" si="182">W141/(1+W44)^3</f>
        <v>119.91911504988211</v>
      </c>
    </row>
    <row r="146" spans="1:23" x14ac:dyDescent="0.3">
      <c r="A146" s="51" t="s">
        <v>517</v>
      </c>
      <c r="B146" s="52"/>
      <c r="C146" s="52"/>
      <c r="D146" s="52"/>
      <c r="E146" s="52"/>
      <c r="F146" s="52"/>
      <c r="G146" s="52"/>
      <c r="H146" s="52"/>
      <c r="I146" s="52"/>
      <c r="J146" s="52"/>
      <c r="K146" s="52"/>
      <c r="L146" s="52"/>
      <c r="M146" s="52"/>
      <c r="N146" s="52"/>
      <c r="O146" s="52"/>
      <c r="P146" s="52"/>
      <c r="Q146" s="52"/>
      <c r="R146" s="52"/>
      <c r="S146" s="52"/>
      <c r="T146" s="52"/>
      <c r="U146" s="52"/>
      <c r="V146" s="52"/>
      <c r="W146" s="52"/>
    </row>
    <row r="147" spans="1:23" x14ac:dyDescent="0.3">
      <c r="A147" s="14" t="s">
        <v>492</v>
      </c>
      <c r="B147" s="43">
        <f>B6*(1+B11)^3</f>
        <v>2200</v>
      </c>
      <c r="C147" s="43">
        <f>C6*(1+C11)^3</f>
        <v>2677.1811499999999</v>
      </c>
      <c r="D147" s="43">
        <f>D6*(1+D11)^3</f>
        <v>3125.5875000000005</v>
      </c>
      <c r="H147" s="43">
        <f t="shared" ref="H147:V147" si="183">H6*(1+H11)^3</f>
        <v>2677.1811499999999</v>
      </c>
      <c r="I147" s="43">
        <f t="shared" si="183"/>
        <v>2677.1811499999999</v>
      </c>
      <c r="J147" s="43">
        <f t="shared" si="183"/>
        <v>2677.1811499999999</v>
      </c>
      <c r="K147" s="43">
        <f t="shared" si="183"/>
        <v>2677.1811499999999</v>
      </c>
      <c r="L147" s="43">
        <f t="shared" si="183"/>
        <v>2677.1811499999999</v>
      </c>
      <c r="M147" s="43">
        <f t="shared" si="183"/>
        <v>2677.1811499999999</v>
      </c>
      <c r="N147" s="43">
        <f t="shared" si="183"/>
        <v>2677.1811499999999</v>
      </c>
      <c r="O147" s="43">
        <f t="shared" si="183"/>
        <v>2677.1811499999999</v>
      </c>
      <c r="P147" s="43">
        <f t="shared" si="183"/>
        <v>2367.7055654220003</v>
      </c>
      <c r="Q147" s="43">
        <f t="shared" si="183"/>
        <v>2961.4245754209996</v>
      </c>
      <c r="R147" s="43">
        <f t="shared" si="183"/>
        <v>2677.1811499999999</v>
      </c>
      <c r="S147" s="43">
        <f t="shared" si="183"/>
        <v>2677.1811499999999</v>
      </c>
      <c r="T147" s="43">
        <f t="shared" si="183"/>
        <v>2677.1811499999999</v>
      </c>
      <c r="U147" s="43">
        <f t="shared" si="183"/>
        <v>2677.1811499999999</v>
      </c>
      <c r="V147" s="43">
        <f t="shared" si="183"/>
        <v>2677.1811499999999</v>
      </c>
      <c r="W147" s="43">
        <f t="shared" ref="W147" si="184">W6*(1+W11)^3</f>
        <v>2677.1811499999999</v>
      </c>
    </row>
    <row r="148" spans="1:23" x14ac:dyDescent="0.3">
      <c r="A148" s="14" t="s">
        <v>493</v>
      </c>
      <c r="B148" s="43">
        <f>B40*B7+(B48-B9)*B147-B42*(1+B35)^3</f>
        <v>142.8027976005053</v>
      </c>
      <c r="C148" s="43">
        <f>C40*C7+(C48-C9)*C147-C42*(1+C35)^3</f>
        <v>228.76680044849275</v>
      </c>
      <c r="D148" s="43">
        <f>D40*D7+(D48-D9)*D147-D42*(1+D35)^3</f>
        <v>322.01356376252602</v>
      </c>
      <c r="H148" s="43">
        <f t="shared" ref="H148:V148" si="185">H40*H7+(H48-H9)*H147-H42*(1+H35)^3</f>
        <v>228.76680044849275</v>
      </c>
      <c r="I148" s="43">
        <f t="shared" si="185"/>
        <v>228.76680044849275</v>
      </c>
      <c r="J148" s="43">
        <f t="shared" si="185"/>
        <v>228.76680044849275</v>
      </c>
      <c r="K148" s="43">
        <f t="shared" si="185"/>
        <v>228.76680044849275</v>
      </c>
      <c r="L148" s="43">
        <f t="shared" si="185"/>
        <v>228.76680044849275</v>
      </c>
      <c r="M148" s="43">
        <f t="shared" si="185"/>
        <v>228.76680044849275</v>
      </c>
      <c r="N148" s="43">
        <f t="shared" si="185"/>
        <v>228.76680044849275</v>
      </c>
      <c r="O148" s="43">
        <f t="shared" si="185"/>
        <v>228.76680044849275</v>
      </c>
      <c r="P148" s="43">
        <f t="shared" si="185"/>
        <v>204.79381578695751</v>
      </c>
      <c r="Q148" s="43">
        <f t="shared" si="185"/>
        <v>250.78522005032221</v>
      </c>
      <c r="R148" s="43">
        <f t="shared" si="185"/>
        <v>218.95530944858803</v>
      </c>
      <c r="S148" s="43">
        <f t="shared" si="185"/>
        <v>228.76680044849275</v>
      </c>
      <c r="T148" s="43">
        <f t="shared" si="185"/>
        <v>228.76680044849275</v>
      </c>
      <c r="U148" s="43">
        <f t="shared" si="185"/>
        <v>245.75082557843598</v>
      </c>
      <c r="V148" s="43">
        <f t="shared" si="185"/>
        <v>228.76680044849275</v>
      </c>
      <c r="W148" s="43">
        <f t="shared" ref="W148" si="186">W40*W7+(W48-W9)*W147-W42*(1+W35)^3</f>
        <v>233.85488575555348</v>
      </c>
    </row>
    <row r="149" spans="1:23" x14ac:dyDescent="0.3">
      <c r="A149" s="14" t="s">
        <v>494</v>
      </c>
      <c r="B149" s="43">
        <f>B148*(1-B10)</f>
        <v>127.09448986444971</v>
      </c>
      <c r="C149" s="43">
        <f>C148*(1-C10)</f>
        <v>208.17778840812841</v>
      </c>
      <c r="D149" s="43">
        <f>D148*(1-D10)</f>
        <v>296.25247866152392</v>
      </c>
      <c r="H149" s="43">
        <f t="shared" ref="H149:V149" si="187">H148*(1-H10)</f>
        <v>208.17778840812841</v>
      </c>
      <c r="I149" s="43">
        <f t="shared" si="187"/>
        <v>208.17778840812841</v>
      </c>
      <c r="J149" s="43">
        <f t="shared" si="187"/>
        <v>208.17778840812841</v>
      </c>
      <c r="K149" s="43">
        <f t="shared" si="187"/>
        <v>208.17778840812841</v>
      </c>
      <c r="L149" s="43">
        <f t="shared" si="187"/>
        <v>208.17778840812841</v>
      </c>
      <c r="M149" s="43">
        <f t="shared" si="187"/>
        <v>208.17778840812841</v>
      </c>
      <c r="N149" s="43">
        <f t="shared" si="187"/>
        <v>208.17778840812841</v>
      </c>
      <c r="O149" s="43">
        <f t="shared" si="187"/>
        <v>208.17778840812841</v>
      </c>
      <c r="P149" s="43">
        <f t="shared" si="187"/>
        <v>186.36237236613135</v>
      </c>
      <c r="Q149" s="43">
        <f t="shared" si="187"/>
        <v>228.21455024579322</v>
      </c>
      <c r="R149" s="43">
        <f t="shared" si="187"/>
        <v>199.24933159821512</v>
      </c>
      <c r="S149" s="43">
        <f t="shared" si="187"/>
        <v>208.17778840812841</v>
      </c>
      <c r="T149" s="43">
        <f t="shared" si="187"/>
        <v>208.17778840812841</v>
      </c>
      <c r="U149" s="43">
        <f t="shared" si="187"/>
        <v>223.63325127637674</v>
      </c>
      <c r="V149" s="43">
        <f t="shared" si="187"/>
        <v>208.17778840812841</v>
      </c>
      <c r="W149" s="43">
        <f t="shared" ref="W149" si="188">W148*(1-W10)</f>
        <v>212.80794603755368</v>
      </c>
    </row>
    <row r="150" spans="1:23" x14ac:dyDescent="0.3">
      <c r="A150" s="14" t="s">
        <v>495</v>
      </c>
      <c r="B150" s="43">
        <f>B11*B56*(1+B11)^3</f>
        <v>0</v>
      </c>
      <c r="C150" s="43">
        <f>C11*C56*(1+C11)^3</f>
        <v>15.185681755349997</v>
      </c>
      <c r="D150" s="43">
        <f>D11*D56*(1+D11)^3</f>
        <v>26.81262084375</v>
      </c>
      <c r="H150" s="43">
        <f t="shared" ref="H150:V150" si="189">H11*H56*(1+H11)^3</f>
        <v>15.185681755349997</v>
      </c>
      <c r="I150" s="43">
        <f t="shared" si="189"/>
        <v>15.185681755349997</v>
      </c>
      <c r="J150" s="43">
        <f t="shared" si="189"/>
        <v>15.185681755349997</v>
      </c>
      <c r="K150" s="43">
        <f t="shared" si="189"/>
        <v>15.185681755349997</v>
      </c>
      <c r="L150" s="43">
        <f t="shared" si="189"/>
        <v>15.185681755349997</v>
      </c>
      <c r="M150" s="43">
        <f t="shared" si="189"/>
        <v>15.185681755349997</v>
      </c>
      <c r="N150" s="43">
        <f t="shared" si="189"/>
        <v>15.185681755349997</v>
      </c>
      <c r="O150" s="43">
        <f t="shared" si="189"/>
        <v>15.185681755349997</v>
      </c>
      <c r="P150" s="43">
        <f t="shared" si="189"/>
        <v>15.185681755349997</v>
      </c>
      <c r="Q150" s="43">
        <f t="shared" si="189"/>
        <v>15.185681755349997</v>
      </c>
      <c r="R150" s="43">
        <f t="shared" si="189"/>
        <v>15.185681755349997</v>
      </c>
      <c r="S150" s="43">
        <f t="shared" si="189"/>
        <v>15.185681755349997</v>
      </c>
      <c r="T150" s="43">
        <f t="shared" si="189"/>
        <v>15.185681755349997</v>
      </c>
      <c r="U150" s="43">
        <f t="shared" si="189"/>
        <v>15.185681755349997</v>
      </c>
      <c r="V150" s="43">
        <f t="shared" si="189"/>
        <v>15.185681755349997</v>
      </c>
      <c r="W150" s="43">
        <f t="shared" ref="W150" si="190">W11*W56*(1+W11)^3</f>
        <v>15.185681755349997</v>
      </c>
    </row>
    <row r="151" spans="1:23" x14ac:dyDescent="0.3">
      <c r="A151" s="9" t="s">
        <v>496</v>
      </c>
      <c r="B151" s="67">
        <f>B149*(1-B36)-B150</f>
        <v>114.38504087800474</v>
      </c>
      <c r="C151" s="67">
        <f>C149*(1-C36)-C150</f>
        <v>172.17432781196555</v>
      </c>
      <c r="D151" s="67">
        <f>D149*(1-D36)-D150</f>
        <v>239.81460995162152</v>
      </c>
      <c r="H151" s="67">
        <f t="shared" ref="H151:V151" si="191">H149*(1-H36)-H150</f>
        <v>172.17432781196555</v>
      </c>
      <c r="I151" s="67">
        <f t="shared" si="191"/>
        <v>172.17432781196555</v>
      </c>
      <c r="J151" s="67">
        <f t="shared" si="191"/>
        <v>172.17432781196555</v>
      </c>
      <c r="K151" s="67">
        <f t="shared" si="191"/>
        <v>172.17432781196555</v>
      </c>
      <c r="L151" s="67">
        <f t="shared" si="191"/>
        <v>172.17432781196555</v>
      </c>
      <c r="M151" s="67">
        <f t="shared" si="191"/>
        <v>172.17432781196555</v>
      </c>
      <c r="N151" s="67">
        <f t="shared" si="191"/>
        <v>172.17432781196555</v>
      </c>
      <c r="O151" s="67">
        <f t="shared" si="191"/>
        <v>172.17432781196555</v>
      </c>
      <c r="P151" s="67">
        <f t="shared" si="191"/>
        <v>152.54045337416821</v>
      </c>
      <c r="Q151" s="67">
        <f t="shared" si="191"/>
        <v>190.20741346586391</v>
      </c>
      <c r="R151" s="67">
        <f t="shared" si="191"/>
        <v>164.13871668304361</v>
      </c>
      <c r="S151" s="67">
        <f t="shared" si="191"/>
        <v>172.17432781196555</v>
      </c>
      <c r="T151" s="67">
        <f t="shared" si="191"/>
        <v>172.17432781196555</v>
      </c>
      <c r="U151" s="67">
        <f t="shared" si="191"/>
        <v>186.08424439338907</v>
      </c>
      <c r="V151" s="67">
        <f t="shared" si="191"/>
        <v>172.17432781196555</v>
      </c>
      <c r="W151" s="67">
        <f t="shared" ref="W151" si="192">W149*(1-W36)-W150</f>
        <v>176.34146967844831</v>
      </c>
    </row>
    <row r="152" spans="1:23" x14ac:dyDescent="0.3">
      <c r="A152" s="14" t="s">
        <v>497</v>
      </c>
      <c r="B152" s="43">
        <f>B151/(1+B44)^4</f>
        <v>74.743803261531312</v>
      </c>
      <c r="C152" s="43">
        <f>C151/(1+C44)^4</f>
        <v>112.50565621066751</v>
      </c>
      <c r="D152" s="43">
        <f>D151/(1+D44)^4</f>
        <v>156.70454709704637</v>
      </c>
      <c r="H152" s="43">
        <f t="shared" ref="H152:V152" si="193">H151/(1+H44)^4</f>
        <v>112.50565621066751</v>
      </c>
      <c r="I152" s="43">
        <f t="shared" si="193"/>
        <v>112.50565621066751</v>
      </c>
      <c r="J152" s="43">
        <f t="shared" si="193"/>
        <v>112.50565621066751</v>
      </c>
      <c r="K152" s="43">
        <f t="shared" si="193"/>
        <v>112.50565621066751</v>
      </c>
      <c r="L152" s="43">
        <f t="shared" si="193"/>
        <v>112.50565621066751</v>
      </c>
      <c r="M152" s="43">
        <f t="shared" si="193"/>
        <v>110.20497031666039</v>
      </c>
      <c r="N152" s="43">
        <f t="shared" si="193"/>
        <v>107.79387201444931</v>
      </c>
      <c r="O152" s="43">
        <f t="shared" si="193"/>
        <v>112.50565621066751</v>
      </c>
      <c r="P152" s="43">
        <f t="shared" si="193"/>
        <v>99.67609006306715</v>
      </c>
      <c r="Q152" s="43">
        <f t="shared" si="193"/>
        <v>124.28920234543577</v>
      </c>
      <c r="R152" s="43">
        <f t="shared" si="193"/>
        <v>107.2548635135098</v>
      </c>
      <c r="S152" s="43">
        <f t="shared" si="193"/>
        <v>112.50565621066751</v>
      </c>
      <c r="T152" s="43">
        <f t="shared" si="193"/>
        <v>112.50565621066751</v>
      </c>
      <c r="U152" s="43">
        <f t="shared" si="193"/>
        <v>121.59495722735451</v>
      </c>
      <c r="V152" s="43">
        <f t="shared" si="193"/>
        <v>115.14949925656188</v>
      </c>
      <c r="W152" s="43">
        <f t="shared" ref="W152" si="194">W151/(1+W44)^4</f>
        <v>115.22863492746902</v>
      </c>
    </row>
    <row r="153" spans="1:23" x14ac:dyDescent="0.3">
      <c r="A153" s="14" t="s">
        <v>498</v>
      </c>
      <c r="B153" s="43">
        <f>0</f>
        <v>0</v>
      </c>
      <c r="C153" s="43">
        <f>0</f>
        <v>0</v>
      </c>
      <c r="D153" s="43">
        <f>0</f>
        <v>0</v>
      </c>
      <c r="H153" s="43">
        <f>0</f>
        <v>0</v>
      </c>
      <c r="I153" s="43">
        <f>0</f>
        <v>0</v>
      </c>
      <c r="J153" s="43">
        <f>0</f>
        <v>0</v>
      </c>
      <c r="K153" s="43">
        <f>0</f>
        <v>0</v>
      </c>
      <c r="L153" s="43">
        <f>0</f>
        <v>0</v>
      </c>
      <c r="M153" s="43">
        <f>0</f>
        <v>0</v>
      </c>
      <c r="N153" s="43">
        <f>0</f>
        <v>0</v>
      </c>
      <c r="O153" s="43">
        <f>0</f>
        <v>0</v>
      </c>
      <c r="P153" s="43">
        <f>0</f>
        <v>0</v>
      </c>
      <c r="Q153" s="43">
        <f>0</f>
        <v>0</v>
      </c>
      <c r="R153" s="43">
        <f>0</f>
        <v>0</v>
      </c>
      <c r="S153" s="43">
        <f>0</f>
        <v>0</v>
      </c>
      <c r="T153" s="43">
        <f>0</f>
        <v>0</v>
      </c>
      <c r="U153" s="43">
        <f>0</f>
        <v>0</v>
      </c>
      <c r="V153" s="43">
        <f>0</f>
        <v>0</v>
      </c>
      <c r="W153" s="43">
        <f>0</f>
        <v>0</v>
      </c>
    </row>
    <row r="154" spans="1:23" x14ac:dyDescent="0.3">
      <c r="A154" s="14" t="s">
        <v>499</v>
      </c>
      <c r="B154" s="43">
        <f>B69*(IF(B29-2030=1,0.5,0)+IF(B29-2030=2,0.5,0)+IF(AND(B29=2028,2030=2027),0.5,0))</f>
        <v>0</v>
      </c>
      <c r="C154" s="43">
        <f>C69*(IF(C29-2030=1,0.5,0)+IF(C29-2030=2,0.5,0)+IF(AND(C29=2028,2030=2027),0.5,0))</f>
        <v>0</v>
      </c>
      <c r="D154" s="43">
        <f>D69*(IF(D29-2030=1,0.5,0)+IF(D29-2030=2,0.5,0)+IF(AND(D29=2028,2030=2027),0.5,0))</f>
        <v>0</v>
      </c>
      <c r="H154" s="43">
        <f t="shared" ref="H154:V154" si="195">H69*(IF(H29-2030=1,0.5,0)+IF(H29-2030=2,0.5,0)+IF(AND(H29=2028,2030=2027),0.5,0))</f>
        <v>0</v>
      </c>
      <c r="I154" s="43">
        <f t="shared" si="195"/>
        <v>0</v>
      </c>
      <c r="J154" s="43">
        <f t="shared" si="195"/>
        <v>0</v>
      </c>
      <c r="K154" s="43">
        <f t="shared" si="195"/>
        <v>0</v>
      </c>
      <c r="L154" s="43">
        <f t="shared" si="195"/>
        <v>0</v>
      </c>
      <c r="M154" s="43">
        <f t="shared" si="195"/>
        <v>0</v>
      </c>
      <c r="N154" s="43">
        <f t="shared" si="195"/>
        <v>0</v>
      </c>
      <c r="O154" s="43">
        <f t="shared" si="195"/>
        <v>0</v>
      </c>
      <c r="P154" s="43">
        <f t="shared" si="195"/>
        <v>0</v>
      </c>
      <c r="Q154" s="43">
        <f t="shared" si="195"/>
        <v>0</v>
      </c>
      <c r="R154" s="43">
        <f t="shared" si="195"/>
        <v>0</v>
      </c>
      <c r="S154" s="43">
        <f t="shared" si="195"/>
        <v>0</v>
      </c>
      <c r="T154" s="43">
        <f t="shared" si="195"/>
        <v>0</v>
      </c>
      <c r="U154" s="43">
        <f t="shared" si="195"/>
        <v>0</v>
      </c>
      <c r="V154" s="43">
        <f t="shared" si="195"/>
        <v>0</v>
      </c>
      <c r="W154" s="43">
        <f t="shared" ref="W154" si="196">W69*(IF(W29-2030=1,0.5,0)+IF(W29-2030=2,0.5,0)+IF(AND(W29=2028,2030=2027),0.5,0))</f>
        <v>0</v>
      </c>
    </row>
    <row r="155" spans="1:23" x14ac:dyDescent="0.3">
      <c r="A155" s="14" t="s">
        <v>500</v>
      </c>
      <c r="B155" s="43">
        <f>B153+B154</f>
        <v>0</v>
      </c>
      <c r="C155" s="43">
        <f>C153+C154</f>
        <v>0</v>
      </c>
      <c r="D155" s="43">
        <f>D153+D154</f>
        <v>0</v>
      </c>
      <c r="H155" s="43">
        <f t="shared" ref="H155:V155" si="197">H153+H154</f>
        <v>0</v>
      </c>
      <c r="I155" s="43">
        <f t="shared" si="197"/>
        <v>0</v>
      </c>
      <c r="J155" s="43">
        <f t="shared" si="197"/>
        <v>0</v>
      </c>
      <c r="K155" s="43">
        <f t="shared" si="197"/>
        <v>0</v>
      </c>
      <c r="L155" s="43">
        <f t="shared" si="197"/>
        <v>0</v>
      </c>
      <c r="M155" s="43">
        <f t="shared" si="197"/>
        <v>0</v>
      </c>
      <c r="N155" s="43">
        <f t="shared" si="197"/>
        <v>0</v>
      </c>
      <c r="O155" s="43">
        <f t="shared" si="197"/>
        <v>0</v>
      </c>
      <c r="P155" s="43">
        <f t="shared" si="197"/>
        <v>0</v>
      </c>
      <c r="Q155" s="43">
        <f t="shared" si="197"/>
        <v>0</v>
      </c>
      <c r="R155" s="43">
        <f t="shared" si="197"/>
        <v>0</v>
      </c>
      <c r="S155" s="43">
        <f t="shared" si="197"/>
        <v>0</v>
      </c>
      <c r="T155" s="43">
        <f t="shared" si="197"/>
        <v>0</v>
      </c>
      <c r="U155" s="43">
        <f t="shared" si="197"/>
        <v>0</v>
      </c>
      <c r="V155" s="43">
        <f t="shared" si="197"/>
        <v>0</v>
      </c>
      <c r="W155" s="43">
        <f t="shared" ref="W155" si="198">W153+W154</f>
        <v>0</v>
      </c>
    </row>
    <row r="156" spans="1:23" x14ac:dyDescent="0.3">
      <c r="A156" s="14" t="s">
        <v>501</v>
      </c>
      <c r="B156" s="43">
        <f>B65*1+B68</f>
        <v>-4.3000000000000114</v>
      </c>
      <c r="C156" s="43">
        <f>C65*1+C68</f>
        <v>63.3</v>
      </c>
      <c r="D156" s="43">
        <f>D65*1+D68</f>
        <v>141.40000000000003</v>
      </c>
      <c r="H156" s="43">
        <f t="shared" ref="H156:V156" si="199">H65*1+H68</f>
        <v>63.3</v>
      </c>
      <c r="I156" s="43">
        <f t="shared" si="199"/>
        <v>63.3</v>
      </c>
      <c r="J156" s="43">
        <f t="shared" si="199"/>
        <v>63.3</v>
      </c>
      <c r="K156" s="43">
        <f t="shared" si="199"/>
        <v>31.799999999999997</v>
      </c>
      <c r="L156" s="43">
        <f t="shared" si="199"/>
        <v>43.3</v>
      </c>
      <c r="M156" s="43">
        <f t="shared" si="199"/>
        <v>63.3</v>
      </c>
      <c r="N156" s="43">
        <f t="shared" si="199"/>
        <v>63.3</v>
      </c>
      <c r="O156" s="43">
        <f t="shared" si="199"/>
        <v>63.3</v>
      </c>
      <c r="P156" s="43">
        <f t="shared" si="199"/>
        <v>63.3</v>
      </c>
      <c r="Q156" s="43">
        <f t="shared" si="199"/>
        <v>63.3</v>
      </c>
      <c r="R156" s="43">
        <f t="shared" si="199"/>
        <v>63.3</v>
      </c>
      <c r="S156" s="43">
        <f t="shared" si="199"/>
        <v>63.3</v>
      </c>
      <c r="T156" s="43">
        <f t="shared" si="199"/>
        <v>63.3</v>
      </c>
      <c r="U156" s="43">
        <f t="shared" si="199"/>
        <v>63.3</v>
      </c>
      <c r="V156" s="43">
        <f t="shared" si="199"/>
        <v>63.3</v>
      </c>
      <c r="W156" s="43">
        <f t="shared" ref="W156" si="200">W65*1+W68</f>
        <v>63.3</v>
      </c>
    </row>
    <row r="157" spans="1:23" x14ac:dyDescent="0.3">
      <c r="A157" s="14" t="s">
        <v>502</v>
      </c>
      <c r="B157" s="43">
        <f>B27*B30*IF(2030&gt;=B29,1,0)</f>
        <v>0</v>
      </c>
      <c r="C157" s="43">
        <f>C27*C30*IF(2030&gt;=C29,1,0)</f>
        <v>45</v>
      </c>
      <c r="D157" s="43">
        <f>D27*D30*IF(2030&gt;=D29,1,0)</f>
        <v>75</v>
      </c>
      <c r="H157" s="43">
        <f t="shared" ref="H157:V157" si="201">H27*H30*IF(2030&gt;=H29,1,0)</f>
        <v>45</v>
      </c>
      <c r="I157" s="43">
        <f t="shared" si="201"/>
        <v>0</v>
      </c>
      <c r="J157" s="43">
        <f t="shared" si="201"/>
        <v>45</v>
      </c>
      <c r="K157" s="43">
        <f t="shared" si="201"/>
        <v>45</v>
      </c>
      <c r="L157" s="43">
        <f t="shared" si="201"/>
        <v>45</v>
      </c>
      <c r="M157" s="43">
        <f t="shared" si="201"/>
        <v>45</v>
      </c>
      <c r="N157" s="43">
        <f t="shared" si="201"/>
        <v>45</v>
      </c>
      <c r="O157" s="43">
        <f t="shared" si="201"/>
        <v>45</v>
      </c>
      <c r="P157" s="43">
        <f t="shared" si="201"/>
        <v>45</v>
      </c>
      <c r="Q157" s="43">
        <f t="shared" si="201"/>
        <v>45</v>
      </c>
      <c r="R157" s="43">
        <f t="shared" si="201"/>
        <v>45</v>
      </c>
      <c r="S157" s="43">
        <f t="shared" si="201"/>
        <v>45</v>
      </c>
      <c r="T157" s="43">
        <f t="shared" si="201"/>
        <v>45</v>
      </c>
      <c r="U157" s="43">
        <f t="shared" si="201"/>
        <v>45</v>
      </c>
      <c r="V157" s="43">
        <f t="shared" si="201"/>
        <v>45</v>
      </c>
      <c r="W157" s="43">
        <f t="shared" ref="W157" si="202">W27*W30*IF(2030&gt;=W29,1,0)</f>
        <v>45</v>
      </c>
    </row>
    <row r="158" spans="1:23" x14ac:dyDescent="0.3">
      <c r="A158" s="14" t="s">
        <v>503</v>
      </c>
      <c r="B158" s="43">
        <f>B156+B157</f>
        <v>-4.3000000000000114</v>
      </c>
      <c r="C158" s="43">
        <f>C156+C157</f>
        <v>108.3</v>
      </c>
      <c r="D158" s="43">
        <f>D156+D157</f>
        <v>216.40000000000003</v>
      </c>
      <c r="H158" s="43">
        <f t="shared" ref="H158:V158" si="203">H156+H157</f>
        <v>108.3</v>
      </c>
      <c r="I158" s="43">
        <f t="shared" si="203"/>
        <v>63.3</v>
      </c>
      <c r="J158" s="43">
        <f t="shared" si="203"/>
        <v>108.3</v>
      </c>
      <c r="K158" s="43">
        <f t="shared" si="203"/>
        <v>76.8</v>
      </c>
      <c r="L158" s="43">
        <f t="shared" si="203"/>
        <v>88.3</v>
      </c>
      <c r="M158" s="43">
        <f t="shared" si="203"/>
        <v>108.3</v>
      </c>
      <c r="N158" s="43">
        <f t="shared" si="203"/>
        <v>108.3</v>
      </c>
      <c r="O158" s="43">
        <f t="shared" si="203"/>
        <v>108.3</v>
      </c>
      <c r="P158" s="43">
        <f t="shared" si="203"/>
        <v>108.3</v>
      </c>
      <c r="Q158" s="43">
        <f t="shared" si="203"/>
        <v>108.3</v>
      </c>
      <c r="R158" s="43">
        <f t="shared" si="203"/>
        <v>108.3</v>
      </c>
      <c r="S158" s="43">
        <f t="shared" si="203"/>
        <v>108.3</v>
      </c>
      <c r="T158" s="43">
        <f t="shared" si="203"/>
        <v>108.3</v>
      </c>
      <c r="U158" s="43">
        <f t="shared" si="203"/>
        <v>108.3</v>
      </c>
      <c r="V158" s="43">
        <f t="shared" si="203"/>
        <v>108.3</v>
      </c>
      <c r="W158" s="43">
        <f t="shared" ref="W158" si="204">W156+W157</f>
        <v>108.3</v>
      </c>
    </row>
    <row r="159" spans="1:23" x14ac:dyDescent="0.3">
      <c r="A159" s="14" t="s">
        <v>504</v>
      </c>
      <c r="B159" s="43">
        <f>B66*1+B68-B36*B156-B153</f>
        <v>24.129999999999988</v>
      </c>
      <c r="C159" s="43">
        <f>C66*1+C68-C36*C156-C153</f>
        <v>81.17</v>
      </c>
      <c r="D159" s="43">
        <f>D66*1+D68-D36*D156-D153</f>
        <v>151.46</v>
      </c>
      <c r="H159" s="43">
        <f t="shared" ref="H159:V159" si="205">H66*1+H68-H36*H156-H153</f>
        <v>81.17</v>
      </c>
      <c r="I159" s="43">
        <f t="shared" si="205"/>
        <v>81.17</v>
      </c>
      <c r="J159" s="43">
        <f t="shared" si="205"/>
        <v>81.17</v>
      </c>
      <c r="K159" s="43">
        <f t="shared" si="205"/>
        <v>52.82</v>
      </c>
      <c r="L159" s="43">
        <f t="shared" si="205"/>
        <v>63.17</v>
      </c>
      <c r="M159" s="43">
        <f t="shared" si="205"/>
        <v>81.17</v>
      </c>
      <c r="N159" s="43">
        <f t="shared" si="205"/>
        <v>81.17</v>
      </c>
      <c r="O159" s="43">
        <f t="shared" si="205"/>
        <v>81.17</v>
      </c>
      <c r="P159" s="43">
        <f t="shared" si="205"/>
        <v>81.17</v>
      </c>
      <c r="Q159" s="43">
        <f t="shared" si="205"/>
        <v>81.17</v>
      </c>
      <c r="R159" s="43">
        <f t="shared" si="205"/>
        <v>81.17</v>
      </c>
      <c r="S159" s="43">
        <f t="shared" si="205"/>
        <v>81.17</v>
      </c>
      <c r="T159" s="43">
        <f t="shared" si="205"/>
        <v>81.17</v>
      </c>
      <c r="U159" s="43">
        <f t="shared" si="205"/>
        <v>81.17</v>
      </c>
      <c r="V159" s="43">
        <f t="shared" si="205"/>
        <v>81.17</v>
      </c>
      <c r="W159" s="43">
        <f t="shared" ref="W159" si="206">W66*1+W68-W36*W156-W153</f>
        <v>81.17</v>
      </c>
    </row>
    <row r="160" spans="1:23" x14ac:dyDescent="0.3">
      <c r="A160" s="14" t="s">
        <v>505</v>
      </c>
      <c r="B160" s="43">
        <f>B157*(1-B36)-B154</f>
        <v>0</v>
      </c>
      <c r="C160" s="43">
        <f>C157*(1-C36)-C154</f>
        <v>40.5</v>
      </c>
      <c r="D160" s="43">
        <f>D157*(1-D36)-D154</f>
        <v>67.5</v>
      </c>
      <c r="H160" s="43">
        <f t="shared" ref="H160:V160" si="207">H157*(1-H36)-H154</f>
        <v>40.5</v>
      </c>
      <c r="I160" s="43">
        <f t="shared" si="207"/>
        <v>0</v>
      </c>
      <c r="J160" s="43">
        <f t="shared" si="207"/>
        <v>40.5</v>
      </c>
      <c r="K160" s="43">
        <f t="shared" si="207"/>
        <v>40.5</v>
      </c>
      <c r="L160" s="43">
        <f t="shared" si="207"/>
        <v>40.5</v>
      </c>
      <c r="M160" s="43">
        <f t="shared" si="207"/>
        <v>40.5</v>
      </c>
      <c r="N160" s="43">
        <f t="shared" si="207"/>
        <v>40.5</v>
      </c>
      <c r="O160" s="43">
        <f t="shared" si="207"/>
        <v>40.5</v>
      </c>
      <c r="P160" s="43">
        <f t="shared" si="207"/>
        <v>40.5</v>
      </c>
      <c r="Q160" s="43">
        <f t="shared" si="207"/>
        <v>40.5</v>
      </c>
      <c r="R160" s="43">
        <f t="shared" si="207"/>
        <v>40.5</v>
      </c>
      <c r="S160" s="43">
        <f t="shared" si="207"/>
        <v>40.5</v>
      </c>
      <c r="T160" s="43">
        <f t="shared" si="207"/>
        <v>40.5</v>
      </c>
      <c r="U160" s="43">
        <f t="shared" si="207"/>
        <v>40.5</v>
      </c>
      <c r="V160" s="43">
        <f t="shared" si="207"/>
        <v>40.5</v>
      </c>
      <c r="W160" s="43">
        <f t="shared" ref="W160" si="208">W157*(1-W36)-W154</f>
        <v>40.5</v>
      </c>
    </row>
    <row r="161" spans="1:23" x14ac:dyDescent="0.3">
      <c r="A161" s="14" t="s">
        <v>506</v>
      </c>
      <c r="B161" s="43">
        <f>B159/(1+B45)^4</f>
        <v>15.107165886829121</v>
      </c>
      <c r="C161" s="43">
        <f>C159/(1+C45)^4</f>
        <v>50.818427477576478</v>
      </c>
      <c r="D161" s="43">
        <f>D159/(1+D45)^4</f>
        <v>94.825169714842104</v>
      </c>
      <c r="H161" s="43">
        <f t="shared" ref="H161:V161" si="209">H159/(1+H45)^4</f>
        <v>50.818427477576478</v>
      </c>
      <c r="I161" s="43">
        <f t="shared" si="209"/>
        <v>50.818427477576478</v>
      </c>
      <c r="J161" s="43">
        <f t="shared" si="209"/>
        <v>50.818427477576478</v>
      </c>
      <c r="K161" s="43">
        <f t="shared" si="209"/>
        <v>33.069229264082658</v>
      </c>
      <c r="L161" s="43">
        <f t="shared" si="209"/>
        <v>39.549095278532782</v>
      </c>
      <c r="M161" s="43">
        <f t="shared" si="209"/>
        <v>49.607247015287108</v>
      </c>
      <c r="N161" s="43">
        <f t="shared" si="209"/>
        <v>50.818427477576478</v>
      </c>
      <c r="O161" s="43">
        <f t="shared" si="209"/>
        <v>50.818427477576478</v>
      </c>
      <c r="P161" s="43">
        <f t="shared" si="209"/>
        <v>50.818427477576478</v>
      </c>
      <c r="Q161" s="43">
        <f t="shared" si="209"/>
        <v>50.818427477576478</v>
      </c>
      <c r="R161" s="43">
        <f t="shared" si="209"/>
        <v>50.818427477576478</v>
      </c>
      <c r="S161" s="43">
        <f t="shared" si="209"/>
        <v>50.818427477576478</v>
      </c>
      <c r="T161" s="43">
        <f t="shared" si="209"/>
        <v>50.818427477576478</v>
      </c>
      <c r="U161" s="43">
        <f t="shared" si="209"/>
        <v>50.818427477576478</v>
      </c>
      <c r="V161" s="43">
        <f t="shared" si="209"/>
        <v>50.818427477576478</v>
      </c>
      <c r="W161" s="43">
        <f t="shared" ref="W161" si="210">W159/(1+W45)^4</f>
        <v>50.818427477576478</v>
      </c>
    </row>
    <row r="162" spans="1:23" x14ac:dyDescent="0.3">
      <c r="A162" s="14" t="s">
        <v>507</v>
      </c>
      <c r="B162" s="43">
        <f>B160/(1+B45)^4</f>
        <v>0</v>
      </c>
      <c r="C162" s="43">
        <f>C160/(1+C45)^4</f>
        <v>25.35599744784831</v>
      </c>
      <c r="D162" s="43">
        <f>D160/(1+D45)^4</f>
        <v>42.25999574641385</v>
      </c>
      <c r="H162" s="43">
        <f t="shared" ref="H162:V162" si="211">H160/(1+H45)^4</f>
        <v>25.35599744784831</v>
      </c>
      <c r="I162" s="43">
        <f t="shared" si="211"/>
        <v>0</v>
      </c>
      <c r="J162" s="43">
        <f t="shared" si="211"/>
        <v>25.35599744784831</v>
      </c>
      <c r="K162" s="43">
        <f t="shared" si="211"/>
        <v>25.35599744784831</v>
      </c>
      <c r="L162" s="43">
        <f t="shared" si="211"/>
        <v>25.35599744784831</v>
      </c>
      <c r="M162" s="43">
        <f t="shared" si="211"/>
        <v>24.751675546619783</v>
      </c>
      <c r="N162" s="43">
        <f t="shared" si="211"/>
        <v>25.35599744784831</v>
      </c>
      <c r="O162" s="43">
        <f t="shared" si="211"/>
        <v>25.35599744784831</v>
      </c>
      <c r="P162" s="43">
        <f t="shared" si="211"/>
        <v>25.35599744784831</v>
      </c>
      <c r="Q162" s="43">
        <f t="shared" si="211"/>
        <v>25.35599744784831</v>
      </c>
      <c r="R162" s="43">
        <f t="shared" si="211"/>
        <v>25.35599744784831</v>
      </c>
      <c r="S162" s="43">
        <f t="shared" si="211"/>
        <v>25.35599744784831</v>
      </c>
      <c r="T162" s="43">
        <f t="shared" si="211"/>
        <v>25.35599744784831</v>
      </c>
      <c r="U162" s="43">
        <f t="shared" si="211"/>
        <v>25.35599744784831</v>
      </c>
      <c r="V162" s="43">
        <f t="shared" si="211"/>
        <v>25.35599744784831</v>
      </c>
      <c r="W162" s="43">
        <f t="shared" ref="W162" si="212">W160/(1+W45)^4</f>
        <v>25.35599744784831</v>
      </c>
    </row>
    <row r="163" spans="1:23" x14ac:dyDescent="0.3">
      <c r="A163" s="14" t="s">
        <v>508</v>
      </c>
      <c r="B163" s="43">
        <f>IF(B143&gt;0,B16,B38)*B143</f>
        <v>53.695568186794851</v>
      </c>
      <c r="C163" s="43">
        <f>IF(C143&gt;0,C16,C38)*C143</f>
        <v>22.498723900867763</v>
      </c>
      <c r="D163" s="43">
        <f>IF(D143&gt;0,D16,D38)*D143</f>
        <v>45.360694160311169</v>
      </c>
      <c r="H163" s="43">
        <f t="shared" ref="H163:V163" si="213">IF(H143&gt;0,H16,H38)*H143</f>
        <v>22.498723900867763</v>
      </c>
      <c r="I163" s="43">
        <f t="shared" si="213"/>
        <v>73.589166072867769</v>
      </c>
      <c r="J163" s="43">
        <f t="shared" si="213"/>
        <v>24.41752350193018</v>
      </c>
      <c r="K163" s="43">
        <f t="shared" si="213"/>
        <v>17.334915827107757</v>
      </c>
      <c r="L163" s="43">
        <f t="shared" si="213"/>
        <v>19.220115600067778</v>
      </c>
      <c r="M163" s="43">
        <f t="shared" si="213"/>
        <v>22.498723900867763</v>
      </c>
      <c r="N163" s="43">
        <f t="shared" si="213"/>
        <v>22.498723900867763</v>
      </c>
      <c r="O163" s="43">
        <f t="shared" si="213"/>
        <v>34.640623516867784</v>
      </c>
      <c r="P163" s="43">
        <f t="shared" si="213"/>
        <v>18.415894361486274</v>
      </c>
      <c r="Q163" s="43">
        <f t="shared" si="213"/>
        <v>26.248672237717425</v>
      </c>
      <c r="R163" s="43">
        <f t="shared" si="213"/>
        <v>20.827732747894615</v>
      </c>
      <c r="S163" s="43">
        <f t="shared" si="213"/>
        <v>22.498723900867763</v>
      </c>
      <c r="T163" s="43">
        <f t="shared" si="213"/>
        <v>22.498723900867763</v>
      </c>
      <c r="U163" s="43">
        <f t="shared" si="213"/>
        <v>25.39126650568538</v>
      </c>
      <c r="V163" s="43">
        <f t="shared" si="213"/>
        <v>22.498723900867763</v>
      </c>
      <c r="W163" s="43">
        <f t="shared" ref="W163" si="214">IF(W143&gt;0,W16,W38)*W143</f>
        <v>23.029455497873062</v>
      </c>
    </row>
    <row r="164" spans="1:23" x14ac:dyDescent="0.3">
      <c r="A164" s="14" t="s">
        <v>509</v>
      </c>
      <c r="B164" s="43">
        <f>B149+B158+B163*(1-B37)</f>
        <v>165.75094441388558</v>
      </c>
      <c r="C164" s="43">
        <f>C149+C158+C163*(1-C37)</f>
        <v>334.47676752882262</v>
      </c>
      <c r="D164" s="43">
        <f>D149+D158+D163*(1-D37)</f>
        <v>548.94103398977279</v>
      </c>
      <c r="H164" s="43">
        <f t="shared" ref="H164:V164" si="215">H149+H158+H163*(1-H37)</f>
        <v>334.47676752882262</v>
      </c>
      <c r="I164" s="43">
        <f t="shared" si="215"/>
        <v>330.34912126642263</v>
      </c>
      <c r="J164" s="43">
        <f t="shared" si="215"/>
        <v>336.01180720967255</v>
      </c>
      <c r="K164" s="43">
        <f t="shared" si="215"/>
        <v>298.8457210698146</v>
      </c>
      <c r="L164" s="43">
        <f t="shared" si="215"/>
        <v>311.85388088818263</v>
      </c>
      <c r="M164" s="43">
        <f t="shared" si="215"/>
        <v>334.47676752882262</v>
      </c>
      <c r="N164" s="43">
        <f t="shared" si="215"/>
        <v>334.47676752882262</v>
      </c>
      <c r="O164" s="43">
        <f t="shared" si="215"/>
        <v>344.19028722162261</v>
      </c>
      <c r="P164" s="43">
        <f t="shared" si="215"/>
        <v>309.39508785532041</v>
      </c>
      <c r="Q164" s="43">
        <f t="shared" si="215"/>
        <v>357.51348803596716</v>
      </c>
      <c r="R164" s="43">
        <f t="shared" si="215"/>
        <v>324.21151779653081</v>
      </c>
      <c r="S164" s="43">
        <f t="shared" si="215"/>
        <v>334.47676752882262</v>
      </c>
      <c r="T164" s="43">
        <f t="shared" si="215"/>
        <v>334.47676752882262</v>
      </c>
      <c r="U164" s="43">
        <f t="shared" si="215"/>
        <v>352.24626448092505</v>
      </c>
      <c r="V164" s="43">
        <f t="shared" si="215"/>
        <v>334.47676752882262</v>
      </c>
      <c r="W164" s="43">
        <f t="shared" ref="W164" si="216">W149+W158+W163*(1-W37)</f>
        <v>339.53151043585211</v>
      </c>
    </row>
    <row r="165" spans="1:23" x14ac:dyDescent="0.3">
      <c r="A165" s="14" t="s">
        <v>510</v>
      </c>
      <c r="B165" s="27">
        <f>B15*'01_Số liệu gốc'!$B$8/1000</f>
        <v>110</v>
      </c>
      <c r="C165" s="27">
        <f>C15*'01_Số liệu gốc'!$B$8/1000</f>
        <v>165</v>
      </c>
      <c r="D165" s="27">
        <f>D15*'01_Số liệu gốc'!$B$8/1000</f>
        <v>220</v>
      </c>
      <c r="H165" s="27">
        <f>H15*'01_Số liệu gốc'!$B$8/1000</f>
        <v>165</v>
      </c>
      <c r="I165" s="27">
        <f>I15*'01_Số liệu gốc'!$B$8/1000</f>
        <v>165</v>
      </c>
      <c r="J165" s="27">
        <f>J15*'01_Số liệu gốc'!$B$8/1000</f>
        <v>165</v>
      </c>
      <c r="K165" s="27">
        <f>K15*'01_Số liệu gốc'!$B$8/1000</f>
        <v>165</v>
      </c>
      <c r="L165" s="27">
        <f>L15*'01_Số liệu gốc'!$B$8/1000</f>
        <v>165</v>
      </c>
      <c r="M165" s="27">
        <f>M15*'01_Số liệu gốc'!$B$8/1000</f>
        <v>165</v>
      </c>
      <c r="N165" s="27">
        <f>N15*'01_Số liệu gốc'!$B$8/1000</f>
        <v>165</v>
      </c>
      <c r="O165" s="27">
        <f>O15*'01_Số liệu gốc'!$B$8/1000</f>
        <v>110</v>
      </c>
      <c r="P165" s="27">
        <f>P15*'01_Số liệu gốc'!$B$8/1000</f>
        <v>165</v>
      </c>
      <c r="Q165" s="27">
        <f>Q15*'01_Số liệu gốc'!$B$8/1000</f>
        <v>165</v>
      </c>
      <c r="R165" s="27">
        <f>R15*'01_Số liệu gốc'!$B$8/1000</f>
        <v>165</v>
      </c>
      <c r="S165" s="27">
        <f>S15*'01_Số liệu gốc'!$B$8/1000</f>
        <v>165</v>
      </c>
      <c r="T165" s="27">
        <f>T15*'01_Số liệu gốc'!$B$8/1000</f>
        <v>165</v>
      </c>
      <c r="U165" s="27">
        <f>U15*'01_Số liệu gốc'!$B$8/1000</f>
        <v>165</v>
      </c>
      <c r="V165" s="27">
        <f>V15*'01_Số liệu gốc'!$B$8/1000</f>
        <v>165</v>
      </c>
      <c r="W165" s="27">
        <f>W15*'01_Số liệu gốc'!$B$8/1000</f>
        <v>165</v>
      </c>
    </row>
    <row r="166" spans="1:23" x14ac:dyDescent="0.3">
      <c r="A166" s="14" t="s">
        <v>511</v>
      </c>
      <c r="B166" s="43">
        <f>(B64-B24)*1</f>
        <v>28</v>
      </c>
      <c r="C166" s="43">
        <f>(C64-C24)*1</f>
        <v>24.200000000000003</v>
      </c>
      <c r="D166" s="43">
        <f>(D64-D24)*1</f>
        <v>24.200000000000003</v>
      </c>
      <c r="H166" s="43">
        <f t="shared" ref="H166:V166" si="217">(H64-H24)*1</f>
        <v>24.200000000000003</v>
      </c>
      <c r="I166" s="43">
        <f t="shared" si="217"/>
        <v>24.200000000000003</v>
      </c>
      <c r="J166" s="43">
        <f t="shared" si="217"/>
        <v>24.200000000000003</v>
      </c>
      <c r="K166" s="43">
        <f t="shared" si="217"/>
        <v>24.200000000000003</v>
      </c>
      <c r="L166" s="43">
        <f t="shared" si="217"/>
        <v>24.200000000000003</v>
      </c>
      <c r="M166" s="43">
        <f t="shared" si="217"/>
        <v>24.200000000000003</v>
      </c>
      <c r="N166" s="43">
        <f t="shared" si="217"/>
        <v>24.200000000000003</v>
      </c>
      <c r="O166" s="43">
        <f t="shared" si="217"/>
        <v>24.200000000000003</v>
      </c>
      <c r="P166" s="43">
        <f t="shared" si="217"/>
        <v>24.200000000000003</v>
      </c>
      <c r="Q166" s="43">
        <f t="shared" si="217"/>
        <v>24.200000000000003</v>
      </c>
      <c r="R166" s="43">
        <f t="shared" si="217"/>
        <v>24.200000000000003</v>
      </c>
      <c r="S166" s="43">
        <f t="shared" si="217"/>
        <v>24.200000000000003</v>
      </c>
      <c r="T166" s="43">
        <f t="shared" si="217"/>
        <v>24.200000000000003</v>
      </c>
      <c r="U166" s="43">
        <f t="shared" si="217"/>
        <v>24.200000000000003</v>
      </c>
      <c r="V166" s="43">
        <f t="shared" si="217"/>
        <v>24.200000000000003</v>
      </c>
      <c r="W166" s="43">
        <f t="shared" ref="W166" si="218">(W64-W24)*1</f>
        <v>24.200000000000003</v>
      </c>
    </row>
    <row r="167" spans="1:23" x14ac:dyDescent="0.3">
      <c r="A167" s="9" t="s">
        <v>512</v>
      </c>
      <c r="B167" s="67">
        <f>B143+B164*(1-B36)-B165-B155-B150+B166</f>
        <v>893.26151438472539</v>
      </c>
      <c r="C167" s="67">
        <f>C143+C164*(1-C36)-C165-C155-C150+C166</f>
        <v>466.45375046155834</v>
      </c>
      <c r="D167" s="67">
        <f>D143+D164*(1-D36)-D165-D155-D150+D166</f>
        <v>876.24356521786126</v>
      </c>
      <c r="H167" s="67">
        <f t="shared" ref="H167:V167" si="219">H143+H164*(1-H36)-H165-H155-H150+H166</f>
        <v>466.45375046155834</v>
      </c>
      <c r="I167" s="67">
        <f t="shared" si="219"/>
        <v>1192.6023284253984</v>
      </c>
      <c r="J167" s="67">
        <f t="shared" si="219"/>
        <v>495.24670904664356</v>
      </c>
      <c r="K167" s="67">
        <f t="shared" si="219"/>
        <v>360.61712188045112</v>
      </c>
      <c r="L167" s="67">
        <f t="shared" si="219"/>
        <v>399.2558910449826</v>
      </c>
      <c r="M167" s="67">
        <f t="shared" si="219"/>
        <v>466.45375046155834</v>
      </c>
      <c r="N167" s="67">
        <f t="shared" si="219"/>
        <v>466.45375046155834</v>
      </c>
      <c r="O167" s="67">
        <f t="shared" si="219"/>
        <v>703.65162698507868</v>
      </c>
      <c r="P167" s="67">
        <f t="shared" si="219"/>
        <v>385.55410247852797</v>
      </c>
      <c r="Q167" s="67">
        <f t="shared" si="219"/>
        <v>540.75748944441227</v>
      </c>
      <c r="R167" s="67">
        <f t="shared" si="219"/>
        <v>433.34372351716502</v>
      </c>
      <c r="S167" s="67">
        <f t="shared" si="219"/>
        <v>466.45375046155834</v>
      </c>
      <c r="T167" s="67">
        <f t="shared" si="219"/>
        <v>466.45375046155834</v>
      </c>
      <c r="U167" s="67">
        <f t="shared" si="219"/>
        <v>523.76833493013078</v>
      </c>
      <c r="V167" s="67">
        <f t="shared" si="219"/>
        <v>466.45375046155834</v>
      </c>
      <c r="W167" s="67">
        <f t="shared" ref="W167" si="220">W143+W164*(1-W36)-W165-W155-W150+W166</f>
        <v>478.58489903510349</v>
      </c>
    </row>
    <row r="168" spans="1:23" x14ac:dyDescent="0.3">
      <c r="A168" s="14" t="s">
        <v>513</v>
      </c>
      <c r="B168" s="43">
        <f>B144+B164*(1-B36)-B165</f>
        <v>2504.0925143847253</v>
      </c>
      <c r="C168" s="43">
        <f>C144+C164*(1-C36)-C165</f>
        <v>2779.0478240619082</v>
      </c>
      <c r="D168" s="43">
        <f>D144+D164*(1-D36)-D165</f>
        <v>3228.1076029366104</v>
      </c>
      <c r="H168" s="43">
        <f t="shared" ref="H168:V168" si="221">H144+H164*(1-H36)-H165</f>
        <v>2779.0478240619082</v>
      </c>
      <c r="I168" s="43">
        <f t="shared" si="221"/>
        <v>2793.2734020257485</v>
      </c>
      <c r="J168" s="43">
        <f t="shared" si="221"/>
        <v>2807.8407826469929</v>
      </c>
      <c r="K168" s="43">
        <f t="shared" si="221"/>
        <v>2673.2111954808015</v>
      </c>
      <c r="L168" s="43">
        <f t="shared" si="221"/>
        <v>2711.849964645332</v>
      </c>
      <c r="M168" s="43">
        <f t="shared" si="221"/>
        <v>2779.0478240619082</v>
      </c>
      <c r="N168" s="43">
        <f t="shared" si="221"/>
        <v>2779.0478240619082</v>
      </c>
      <c r="O168" s="43">
        <f t="shared" si="221"/>
        <v>3016.2457005854285</v>
      </c>
      <c r="P168" s="43">
        <f t="shared" si="221"/>
        <v>2698.1481760788774</v>
      </c>
      <c r="Q168" s="43">
        <f t="shared" si="221"/>
        <v>2853.3515630447619</v>
      </c>
      <c r="R168" s="43">
        <f t="shared" si="221"/>
        <v>2745.9377971175149</v>
      </c>
      <c r="S168" s="43">
        <f t="shared" si="221"/>
        <v>2779.0478240619082</v>
      </c>
      <c r="T168" s="43">
        <f t="shared" si="221"/>
        <v>2779.0478240619082</v>
      </c>
      <c r="U168" s="43">
        <f t="shared" si="221"/>
        <v>2836.3624085304809</v>
      </c>
      <c r="V168" s="43">
        <f t="shared" si="221"/>
        <v>2779.0478240619082</v>
      </c>
      <c r="W168" s="43">
        <f t="shared" ref="W168" si="222">W144+W164*(1-W36)-W165</f>
        <v>2791.1789726354532</v>
      </c>
    </row>
    <row r="169" spans="1:23" x14ac:dyDescent="0.3">
      <c r="A169" s="14" t="s">
        <v>514</v>
      </c>
      <c r="B169" s="43">
        <f>B165/(1+B44)^4</f>
        <v>71.878440534346382</v>
      </c>
      <c r="C169" s="43">
        <f>C165/(1+C44)^4</f>
        <v>107.81766080151958</v>
      </c>
      <c r="D169" s="43">
        <f>D165/(1+D44)^4</f>
        <v>143.75688106869276</v>
      </c>
      <c r="H169" s="43">
        <f t="shared" ref="H169:V169" si="223">H165/(1+H44)^4</f>
        <v>107.81766080151958</v>
      </c>
      <c r="I169" s="43">
        <f t="shared" si="223"/>
        <v>107.81766080151958</v>
      </c>
      <c r="J169" s="43">
        <f t="shared" si="223"/>
        <v>107.81766080151958</v>
      </c>
      <c r="K169" s="43">
        <f t="shared" si="223"/>
        <v>107.81766080151958</v>
      </c>
      <c r="L169" s="43">
        <f t="shared" si="223"/>
        <v>107.81766080151958</v>
      </c>
      <c r="M169" s="43">
        <f t="shared" si="223"/>
        <v>105.61284213119053</v>
      </c>
      <c r="N169" s="43">
        <f t="shared" si="223"/>
        <v>103.30221182456718</v>
      </c>
      <c r="O169" s="43">
        <f t="shared" si="223"/>
        <v>71.878440534346382</v>
      </c>
      <c r="P169" s="43">
        <f t="shared" si="223"/>
        <v>107.81766080151958</v>
      </c>
      <c r="Q169" s="43">
        <f t="shared" si="223"/>
        <v>107.81766080151958</v>
      </c>
      <c r="R169" s="43">
        <f t="shared" si="223"/>
        <v>107.81766080151958</v>
      </c>
      <c r="S169" s="43">
        <f t="shared" si="223"/>
        <v>107.81766080151958</v>
      </c>
      <c r="T169" s="43">
        <f t="shared" si="223"/>
        <v>107.81766080151958</v>
      </c>
      <c r="U169" s="43">
        <f t="shared" si="223"/>
        <v>107.81766080151958</v>
      </c>
      <c r="V169" s="43">
        <f t="shared" si="223"/>
        <v>110.35133761685171</v>
      </c>
      <c r="W169" s="43">
        <f t="shared" ref="W169" si="224">W165/(1+W44)^4</f>
        <v>107.81766080151958</v>
      </c>
    </row>
    <row r="170" spans="1:23" x14ac:dyDescent="0.3">
      <c r="A170" s="51" t="s">
        <v>518</v>
      </c>
      <c r="B170" s="52"/>
      <c r="C170" s="52"/>
      <c r="D170" s="52"/>
      <c r="E170" s="52"/>
      <c r="F170" s="52"/>
      <c r="G170" s="52"/>
      <c r="H170" s="52"/>
      <c r="I170" s="52"/>
      <c r="J170" s="52"/>
      <c r="K170" s="52"/>
      <c r="L170" s="52"/>
      <c r="M170" s="52"/>
      <c r="N170" s="52"/>
      <c r="O170" s="52"/>
      <c r="P170" s="52"/>
      <c r="Q170" s="52"/>
      <c r="R170" s="52"/>
      <c r="S170" s="52"/>
      <c r="T170" s="52"/>
      <c r="U170" s="52"/>
      <c r="V170" s="52"/>
      <c r="W170" s="52"/>
    </row>
    <row r="171" spans="1:23" x14ac:dyDescent="0.3">
      <c r="A171" s="14" t="s">
        <v>492</v>
      </c>
      <c r="B171" s="43">
        <f>B6*(1+B11)^4</f>
        <v>2200</v>
      </c>
      <c r="C171" s="43">
        <f>C6*(1+C11)^4</f>
        <v>2757.4965844999997</v>
      </c>
      <c r="D171" s="43">
        <f>D6*(1+D11)^4</f>
        <v>3281.8668750000002</v>
      </c>
      <c r="H171" s="43">
        <f t="shared" ref="H171:V171" si="225">H6*(1+H11)^4</f>
        <v>2757.4965844999997</v>
      </c>
      <c r="I171" s="43">
        <f t="shared" si="225"/>
        <v>2757.4965844999997</v>
      </c>
      <c r="J171" s="43">
        <f t="shared" si="225"/>
        <v>2757.4965844999997</v>
      </c>
      <c r="K171" s="43">
        <f t="shared" si="225"/>
        <v>2757.4965844999997</v>
      </c>
      <c r="L171" s="43">
        <f t="shared" si="225"/>
        <v>2757.4965844999997</v>
      </c>
      <c r="M171" s="43">
        <f t="shared" si="225"/>
        <v>2757.4965844999997</v>
      </c>
      <c r="N171" s="43">
        <f t="shared" si="225"/>
        <v>2757.4965844999997</v>
      </c>
      <c r="O171" s="43">
        <f t="shared" si="225"/>
        <v>2757.4965844999997</v>
      </c>
      <c r="P171" s="43">
        <f t="shared" si="225"/>
        <v>2438.7367323846597</v>
      </c>
      <c r="Q171" s="43">
        <f t="shared" si="225"/>
        <v>3050.2673126836294</v>
      </c>
      <c r="R171" s="43">
        <f t="shared" si="225"/>
        <v>2757.4965844999997</v>
      </c>
      <c r="S171" s="43">
        <f t="shared" si="225"/>
        <v>2757.4965844999997</v>
      </c>
      <c r="T171" s="43">
        <f t="shared" si="225"/>
        <v>2757.4965844999997</v>
      </c>
      <c r="U171" s="43">
        <f t="shared" si="225"/>
        <v>2757.4965844999997</v>
      </c>
      <c r="V171" s="43">
        <f t="shared" si="225"/>
        <v>2757.4965844999997</v>
      </c>
      <c r="W171" s="43">
        <f t="shared" ref="W171" si="226">W6*(1+W11)^4</f>
        <v>2757.4965844999997</v>
      </c>
    </row>
    <row r="172" spans="1:23" x14ac:dyDescent="0.3">
      <c r="A172" s="14" t="s">
        <v>493</v>
      </c>
      <c r="B172" s="43">
        <f>B40*B7+(B48-B9)*B171-B42*(1+B35)^4</f>
        <v>141.52430701050531</v>
      </c>
      <c r="C172" s="43">
        <f>C40*C7+(C48-C9)*C171-C42*(1+C35)^4</f>
        <v>233.7098044619475</v>
      </c>
      <c r="D172" s="43">
        <f>D40*D7+(D48-D9)*D171-D42*(1+D35)^4</f>
        <v>335.96656901065228</v>
      </c>
      <c r="H172" s="43">
        <f t="shared" ref="H172:V172" si="227">H40*H7+(H48-H9)*H171-H42*(1+H35)^4</f>
        <v>233.7098044619475</v>
      </c>
      <c r="I172" s="43">
        <f t="shared" si="227"/>
        <v>233.7098044619475</v>
      </c>
      <c r="J172" s="43">
        <f t="shared" si="227"/>
        <v>233.7098044619475</v>
      </c>
      <c r="K172" s="43">
        <f t="shared" si="227"/>
        <v>233.7098044619475</v>
      </c>
      <c r="L172" s="43">
        <f t="shared" si="227"/>
        <v>233.7098044619475</v>
      </c>
      <c r="M172" s="43">
        <f t="shared" si="227"/>
        <v>233.7098044619475</v>
      </c>
      <c r="N172" s="43">
        <f t="shared" si="227"/>
        <v>233.7098044619475</v>
      </c>
      <c r="O172" s="43">
        <f t="shared" si="227"/>
        <v>233.7098044619475</v>
      </c>
      <c r="P172" s="43">
        <f t="shared" si="227"/>
        <v>209.01763026056619</v>
      </c>
      <c r="Q172" s="43">
        <f t="shared" si="227"/>
        <v>256.3887766518319</v>
      </c>
      <c r="R172" s="43">
        <f t="shared" si="227"/>
        <v>223.60396873204564</v>
      </c>
      <c r="S172" s="43">
        <f t="shared" si="227"/>
        <v>233.7098044619475</v>
      </c>
      <c r="T172" s="43">
        <f t="shared" si="227"/>
        <v>233.7098044619475</v>
      </c>
      <c r="U172" s="43">
        <f t="shared" si="227"/>
        <v>251.20335034578903</v>
      </c>
      <c r="V172" s="43">
        <f t="shared" si="227"/>
        <v>233.7098044619475</v>
      </c>
      <c r="W172" s="43">
        <f t="shared" ref="W172" si="228">W40*W7+(W48-W9)*W171-W42*(1+W35)^4</f>
        <v>239.91053232822009</v>
      </c>
    </row>
    <row r="173" spans="1:23" x14ac:dyDescent="0.3">
      <c r="A173" s="14" t="s">
        <v>494</v>
      </c>
      <c r="B173" s="43">
        <f>B172*(1-B10)</f>
        <v>125.95663323934973</v>
      </c>
      <c r="C173" s="43">
        <f>C172*(1-C10)</f>
        <v>212.67592206037224</v>
      </c>
      <c r="D173" s="43">
        <f>D172*(1-D10)</f>
        <v>309.08924348980008</v>
      </c>
      <c r="H173" s="43">
        <f t="shared" ref="H173:V173" si="229">H172*(1-H10)</f>
        <v>212.67592206037224</v>
      </c>
      <c r="I173" s="43">
        <f t="shared" si="229"/>
        <v>212.67592206037224</v>
      </c>
      <c r="J173" s="43">
        <f t="shared" si="229"/>
        <v>212.67592206037224</v>
      </c>
      <c r="K173" s="43">
        <f t="shared" si="229"/>
        <v>212.67592206037224</v>
      </c>
      <c r="L173" s="43">
        <f t="shared" si="229"/>
        <v>212.67592206037224</v>
      </c>
      <c r="M173" s="43">
        <f t="shared" si="229"/>
        <v>212.67592206037224</v>
      </c>
      <c r="N173" s="43">
        <f t="shared" si="229"/>
        <v>212.67592206037224</v>
      </c>
      <c r="O173" s="43">
        <f t="shared" si="229"/>
        <v>212.67592206037224</v>
      </c>
      <c r="P173" s="43">
        <f t="shared" si="229"/>
        <v>190.20604353711525</v>
      </c>
      <c r="Q173" s="43">
        <f t="shared" si="229"/>
        <v>233.31378675316705</v>
      </c>
      <c r="R173" s="43">
        <f t="shared" si="229"/>
        <v>203.47961154616155</v>
      </c>
      <c r="S173" s="43">
        <f t="shared" si="229"/>
        <v>212.67592206037224</v>
      </c>
      <c r="T173" s="43">
        <f t="shared" si="229"/>
        <v>212.67592206037224</v>
      </c>
      <c r="U173" s="43">
        <f t="shared" si="229"/>
        <v>228.59504881466802</v>
      </c>
      <c r="V173" s="43">
        <f t="shared" si="229"/>
        <v>212.67592206037224</v>
      </c>
      <c r="W173" s="43">
        <f t="shared" ref="W173" si="230">W172*(1-W10)</f>
        <v>218.31858441868027</v>
      </c>
    </row>
    <row r="174" spans="1:23" x14ac:dyDescent="0.3">
      <c r="A174" s="14" t="s">
        <v>495</v>
      </c>
      <c r="B174" s="43">
        <f>B11*B56*(1+B11)^4</f>
        <v>0</v>
      </c>
      <c r="C174" s="43">
        <f>C11*C56*(1+C11)^4</f>
        <v>15.641252208010496</v>
      </c>
      <c r="D174" s="43">
        <f>D11*D56*(1+D11)^4</f>
        <v>28.153251885937497</v>
      </c>
      <c r="H174" s="43">
        <f t="shared" ref="H174:V174" si="231">H11*H56*(1+H11)^4</f>
        <v>15.641252208010496</v>
      </c>
      <c r="I174" s="43">
        <f t="shared" si="231"/>
        <v>15.641252208010496</v>
      </c>
      <c r="J174" s="43">
        <f t="shared" si="231"/>
        <v>15.641252208010496</v>
      </c>
      <c r="K174" s="43">
        <f t="shared" si="231"/>
        <v>15.641252208010496</v>
      </c>
      <c r="L174" s="43">
        <f t="shared" si="231"/>
        <v>15.641252208010496</v>
      </c>
      <c r="M174" s="43">
        <f t="shared" si="231"/>
        <v>15.641252208010496</v>
      </c>
      <c r="N174" s="43">
        <f t="shared" si="231"/>
        <v>15.641252208010496</v>
      </c>
      <c r="O174" s="43">
        <f t="shared" si="231"/>
        <v>15.641252208010496</v>
      </c>
      <c r="P174" s="43">
        <f t="shared" si="231"/>
        <v>15.641252208010496</v>
      </c>
      <c r="Q174" s="43">
        <f t="shared" si="231"/>
        <v>15.641252208010496</v>
      </c>
      <c r="R174" s="43">
        <f t="shared" si="231"/>
        <v>15.641252208010496</v>
      </c>
      <c r="S174" s="43">
        <f t="shared" si="231"/>
        <v>15.641252208010496</v>
      </c>
      <c r="T174" s="43">
        <f t="shared" si="231"/>
        <v>15.641252208010496</v>
      </c>
      <c r="U174" s="43">
        <f t="shared" si="231"/>
        <v>15.641252208010496</v>
      </c>
      <c r="V174" s="43">
        <f t="shared" si="231"/>
        <v>15.641252208010496</v>
      </c>
      <c r="W174" s="43">
        <f t="shared" ref="W174" si="232">W11*W56*(1+W11)^4</f>
        <v>15.641252208010496</v>
      </c>
    </row>
    <row r="175" spans="1:23" x14ac:dyDescent="0.3">
      <c r="A175" s="9" t="s">
        <v>496</v>
      </c>
      <c r="B175" s="67">
        <f>B173*(1-B36)-B174</f>
        <v>113.36096991541476</v>
      </c>
      <c r="C175" s="67">
        <f>C173*(1-C36)-C174</f>
        <v>175.76707764632454</v>
      </c>
      <c r="D175" s="67">
        <f>D173*(1-D36)-D174</f>
        <v>250.02706725488258</v>
      </c>
      <c r="H175" s="67">
        <f t="shared" ref="H175:V175" si="233">H173*(1-H36)-H174</f>
        <v>175.76707764632454</v>
      </c>
      <c r="I175" s="67">
        <f t="shared" si="233"/>
        <v>175.76707764632454</v>
      </c>
      <c r="J175" s="67">
        <f t="shared" si="233"/>
        <v>175.76707764632454</v>
      </c>
      <c r="K175" s="67">
        <f t="shared" si="233"/>
        <v>175.76707764632454</v>
      </c>
      <c r="L175" s="67">
        <f t="shared" si="233"/>
        <v>175.76707764632454</v>
      </c>
      <c r="M175" s="67">
        <f t="shared" si="233"/>
        <v>175.76707764632454</v>
      </c>
      <c r="N175" s="67">
        <f t="shared" si="233"/>
        <v>175.76707764632454</v>
      </c>
      <c r="O175" s="67">
        <f t="shared" si="233"/>
        <v>175.76707764632454</v>
      </c>
      <c r="P175" s="67">
        <f t="shared" si="233"/>
        <v>155.54418697539325</v>
      </c>
      <c r="Q175" s="67">
        <f t="shared" si="233"/>
        <v>194.34115586983987</v>
      </c>
      <c r="R175" s="67">
        <f t="shared" si="233"/>
        <v>167.49039818353492</v>
      </c>
      <c r="S175" s="67">
        <f t="shared" si="233"/>
        <v>175.76707764632454</v>
      </c>
      <c r="T175" s="67">
        <f t="shared" si="233"/>
        <v>175.76707764632454</v>
      </c>
      <c r="U175" s="67">
        <f t="shared" si="233"/>
        <v>190.09429172519074</v>
      </c>
      <c r="V175" s="67">
        <f t="shared" si="233"/>
        <v>175.76707764632454</v>
      </c>
      <c r="W175" s="67">
        <f t="shared" ref="W175" si="234">W173*(1-W36)-W174</f>
        <v>180.84547376880175</v>
      </c>
    </row>
    <row r="176" spans="1:23" x14ac:dyDescent="0.3">
      <c r="A176" s="14" t="s">
        <v>497</v>
      </c>
      <c r="B176" s="43">
        <f>B175/(1+B44)^5</f>
        <v>66.599505461386443</v>
      </c>
      <c r="C176" s="43">
        <f>C175/(1+C44)^5</f>
        <v>103.26305832045065</v>
      </c>
      <c r="D176" s="43">
        <f>D175/(1+D44)^5</f>
        <v>146.89076005225411</v>
      </c>
      <c r="H176" s="43">
        <f t="shared" ref="H176:V176" si="235">H175/(1+H44)^5</f>
        <v>103.26305832045065</v>
      </c>
      <c r="I176" s="43">
        <f t="shared" si="235"/>
        <v>103.26305832045065</v>
      </c>
      <c r="J176" s="43">
        <f t="shared" si="235"/>
        <v>103.26305832045065</v>
      </c>
      <c r="K176" s="43">
        <f t="shared" si="235"/>
        <v>103.26305832045065</v>
      </c>
      <c r="L176" s="43">
        <f t="shared" si="235"/>
        <v>103.26305832045065</v>
      </c>
      <c r="M176" s="43">
        <f t="shared" si="235"/>
        <v>100.63024135806354</v>
      </c>
      <c r="N176" s="43">
        <f t="shared" si="235"/>
        <v>97.885784837194734</v>
      </c>
      <c r="O176" s="43">
        <f t="shared" si="235"/>
        <v>103.26305832045065</v>
      </c>
      <c r="P176" s="43">
        <f t="shared" si="235"/>
        <v>91.382121533400735</v>
      </c>
      <c r="Q176" s="43">
        <f t="shared" si="235"/>
        <v>114.17531873080392</v>
      </c>
      <c r="R176" s="43">
        <f t="shared" si="235"/>
        <v>98.40051383538227</v>
      </c>
      <c r="S176" s="43">
        <f t="shared" si="235"/>
        <v>103.26305832045065</v>
      </c>
      <c r="T176" s="43">
        <f t="shared" si="235"/>
        <v>103.26305832045065</v>
      </c>
      <c r="U176" s="43">
        <f t="shared" si="235"/>
        <v>111.68028845710064</v>
      </c>
      <c r="V176" s="43">
        <f t="shared" si="235"/>
        <v>106.30522329796581</v>
      </c>
      <c r="W176" s="43">
        <f t="shared" ref="W176" si="236">W175/(1+W44)^5</f>
        <v>106.24661315900195</v>
      </c>
    </row>
    <row r="177" spans="1:23" x14ac:dyDescent="0.3">
      <c r="A177" s="14" t="s">
        <v>498</v>
      </c>
      <c r="B177" s="43">
        <f>0</f>
        <v>0</v>
      </c>
      <c r="C177" s="43">
        <f>0</f>
        <v>0</v>
      </c>
      <c r="D177" s="43">
        <f>0</f>
        <v>0</v>
      </c>
      <c r="H177" s="43">
        <f>0</f>
        <v>0</v>
      </c>
      <c r="I177" s="43">
        <f>0</f>
        <v>0</v>
      </c>
      <c r="J177" s="43">
        <f>0</f>
        <v>0</v>
      </c>
      <c r="K177" s="43">
        <f>0</f>
        <v>0</v>
      </c>
      <c r="L177" s="43">
        <f>0</f>
        <v>0</v>
      </c>
      <c r="M177" s="43">
        <f>0</f>
        <v>0</v>
      </c>
      <c r="N177" s="43">
        <f>0</f>
        <v>0</v>
      </c>
      <c r="O177" s="43">
        <f>0</f>
        <v>0</v>
      </c>
      <c r="P177" s="43">
        <f>0</f>
        <v>0</v>
      </c>
      <c r="Q177" s="43">
        <f>0</f>
        <v>0</v>
      </c>
      <c r="R177" s="43">
        <f>0</f>
        <v>0</v>
      </c>
      <c r="S177" s="43">
        <f>0</f>
        <v>0</v>
      </c>
      <c r="T177" s="43">
        <f>0</f>
        <v>0</v>
      </c>
      <c r="U177" s="43">
        <f>0</f>
        <v>0</v>
      </c>
      <c r="V177" s="43">
        <f>0</f>
        <v>0</v>
      </c>
      <c r="W177" s="43">
        <f>0</f>
        <v>0</v>
      </c>
    </row>
    <row r="178" spans="1:23" x14ac:dyDescent="0.3">
      <c r="A178" s="14" t="s">
        <v>499</v>
      </c>
      <c r="B178" s="43">
        <f>B69*(IF(B29-2031=1,0.5,0)+IF(B29-2031=2,0.5,0)+IF(AND(B29=2028,2031=2027),0.5,0))</f>
        <v>0</v>
      </c>
      <c r="C178" s="43">
        <f>C69*(IF(C29-2031=1,0.5,0)+IF(C29-2031=2,0.5,0)+IF(AND(C29=2028,2031=2027),0.5,0))</f>
        <v>0</v>
      </c>
      <c r="D178" s="43">
        <f>D69*(IF(D29-2031=1,0.5,0)+IF(D29-2031=2,0.5,0)+IF(AND(D29=2028,2031=2027),0.5,0))</f>
        <v>0</v>
      </c>
      <c r="H178" s="43">
        <f t="shared" ref="H178:V178" si="237">H69*(IF(H29-2031=1,0.5,0)+IF(H29-2031=2,0.5,0)+IF(AND(H29=2028,2031=2027),0.5,0))</f>
        <v>0</v>
      </c>
      <c r="I178" s="43">
        <f t="shared" si="237"/>
        <v>0</v>
      </c>
      <c r="J178" s="43">
        <f t="shared" si="237"/>
        <v>0</v>
      </c>
      <c r="K178" s="43">
        <f t="shared" si="237"/>
        <v>0</v>
      </c>
      <c r="L178" s="43">
        <f t="shared" si="237"/>
        <v>0</v>
      </c>
      <c r="M178" s="43">
        <f t="shared" si="237"/>
        <v>0</v>
      </c>
      <c r="N178" s="43">
        <f t="shared" si="237"/>
        <v>0</v>
      </c>
      <c r="O178" s="43">
        <f t="shared" si="237"/>
        <v>0</v>
      </c>
      <c r="P178" s="43">
        <f t="shared" si="237"/>
        <v>0</v>
      </c>
      <c r="Q178" s="43">
        <f t="shared" si="237"/>
        <v>0</v>
      </c>
      <c r="R178" s="43">
        <f t="shared" si="237"/>
        <v>0</v>
      </c>
      <c r="S178" s="43">
        <f t="shared" si="237"/>
        <v>0</v>
      </c>
      <c r="T178" s="43">
        <f t="shared" si="237"/>
        <v>0</v>
      </c>
      <c r="U178" s="43">
        <f t="shared" si="237"/>
        <v>0</v>
      </c>
      <c r="V178" s="43">
        <f t="shared" si="237"/>
        <v>0</v>
      </c>
      <c r="W178" s="43">
        <f t="shared" ref="W178" si="238">W69*(IF(W29-2031=1,0.5,0)+IF(W29-2031=2,0.5,0)+IF(AND(W29=2028,2031=2027),0.5,0))</f>
        <v>0</v>
      </c>
    </row>
    <row r="179" spans="1:23" x14ac:dyDescent="0.3">
      <c r="A179" s="14" t="s">
        <v>500</v>
      </c>
      <c r="B179" s="43">
        <f>B177+B178</f>
        <v>0</v>
      </c>
      <c r="C179" s="43">
        <f>C177+C178</f>
        <v>0</v>
      </c>
      <c r="D179" s="43">
        <f>D177+D178</f>
        <v>0</v>
      </c>
      <c r="H179" s="43">
        <f t="shared" ref="H179:V179" si="239">H177+H178</f>
        <v>0</v>
      </c>
      <c r="I179" s="43">
        <f t="shared" si="239"/>
        <v>0</v>
      </c>
      <c r="J179" s="43">
        <f t="shared" si="239"/>
        <v>0</v>
      </c>
      <c r="K179" s="43">
        <f t="shared" si="239"/>
        <v>0</v>
      </c>
      <c r="L179" s="43">
        <f t="shared" si="239"/>
        <v>0</v>
      </c>
      <c r="M179" s="43">
        <f t="shared" si="239"/>
        <v>0</v>
      </c>
      <c r="N179" s="43">
        <f t="shared" si="239"/>
        <v>0</v>
      </c>
      <c r="O179" s="43">
        <f t="shared" si="239"/>
        <v>0</v>
      </c>
      <c r="P179" s="43">
        <f t="shared" si="239"/>
        <v>0</v>
      </c>
      <c r="Q179" s="43">
        <f t="shared" si="239"/>
        <v>0</v>
      </c>
      <c r="R179" s="43">
        <f t="shared" si="239"/>
        <v>0</v>
      </c>
      <c r="S179" s="43">
        <f t="shared" si="239"/>
        <v>0</v>
      </c>
      <c r="T179" s="43">
        <f t="shared" si="239"/>
        <v>0</v>
      </c>
      <c r="U179" s="43">
        <f t="shared" si="239"/>
        <v>0</v>
      </c>
      <c r="V179" s="43">
        <f t="shared" si="239"/>
        <v>0</v>
      </c>
      <c r="W179" s="43">
        <f t="shared" ref="W179" si="240">W177+W178</f>
        <v>0</v>
      </c>
    </row>
    <row r="180" spans="1:23" x14ac:dyDescent="0.3">
      <c r="A180" s="14" t="s">
        <v>501</v>
      </c>
      <c r="B180" s="43">
        <f>B65*1+B68</f>
        <v>-4.3000000000000114</v>
      </c>
      <c r="C180" s="43">
        <f>C65*1+C68</f>
        <v>63.3</v>
      </c>
      <c r="D180" s="43">
        <f>D65*1+D68</f>
        <v>141.40000000000003</v>
      </c>
      <c r="H180" s="43">
        <f t="shared" ref="H180:V180" si="241">H65*1+H68</f>
        <v>63.3</v>
      </c>
      <c r="I180" s="43">
        <f t="shared" si="241"/>
        <v>63.3</v>
      </c>
      <c r="J180" s="43">
        <f t="shared" si="241"/>
        <v>63.3</v>
      </c>
      <c r="K180" s="43">
        <f t="shared" si="241"/>
        <v>31.799999999999997</v>
      </c>
      <c r="L180" s="43">
        <f t="shared" si="241"/>
        <v>43.3</v>
      </c>
      <c r="M180" s="43">
        <f t="shared" si="241"/>
        <v>63.3</v>
      </c>
      <c r="N180" s="43">
        <f t="shared" si="241"/>
        <v>63.3</v>
      </c>
      <c r="O180" s="43">
        <f t="shared" si="241"/>
        <v>63.3</v>
      </c>
      <c r="P180" s="43">
        <f t="shared" si="241"/>
        <v>63.3</v>
      </c>
      <c r="Q180" s="43">
        <f t="shared" si="241"/>
        <v>63.3</v>
      </c>
      <c r="R180" s="43">
        <f t="shared" si="241"/>
        <v>63.3</v>
      </c>
      <c r="S180" s="43">
        <f t="shared" si="241"/>
        <v>63.3</v>
      </c>
      <c r="T180" s="43">
        <f t="shared" si="241"/>
        <v>63.3</v>
      </c>
      <c r="U180" s="43">
        <f t="shared" si="241"/>
        <v>63.3</v>
      </c>
      <c r="V180" s="43">
        <f t="shared" si="241"/>
        <v>63.3</v>
      </c>
      <c r="W180" s="43">
        <f t="shared" ref="W180" si="242">W65*1+W68</f>
        <v>63.3</v>
      </c>
    </row>
    <row r="181" spans="1:23" x14ac:dyDescent="0.3">
      <c r="A181" s="14" t="s">
        <v>502</v>
      </c>
      <c r="B181" s="43">
        <f>B27*B30*IF(2031&gt;=B29,1,0)</f>
        <v>0</v>
      </c>
      <c r="C181" s="43">
        <f>C27*C30*IF(2031&gt;=C29,1,0)</f>
        <v>45</v>
      </c>
      <c r="D181" s="43">
        <f>D27*D30*IF(2031&gt;=D29,1,0)</f>
        <v>75</v>
      </c>
      <c r="H181" s="43">
        <f t="shared" ref="H181:V181" si="243">H27*H30*IF(2031&gt;=H29,1,0)</f>
        <v>45</v>
      </c>
      <c r="I181" s="43">
        <f t="shared" si="243"/>
        <v>0</v>
      </c>
      <c r="J181" s="43">
        <f t="shared" si="243"/>
        <v>45</v>
      </c>
      <c r="K181" s="43">
        <f t="shared" si="243"/>
        <v>45</v>
      </c>
      <c r="L181" s="43">
        <f t="shared" si="243"/>
        <v>45</v>
      </c>
      <c r="M181" s="43">
        <f t="shared" si="243"/>
        <v>45</v>
      </c>
      <c r="N181" s="43">
        <f t="shared" si="243"/>
        <v>45</v>
      </c>
      <c r="O181" s="43">
        <f t="shared" si="243"/>
        <v>45</v>
      </c>
      <c r="P181" s="43">
        <f t="shared" si="243"/>
        <v>45</v>
      </c>
      <c r="Q181" s="43">
        <f t="shared" si="243"/>
        <v>45</v>
      </c>
      <c r="R181" s="43">
        <f t="shared" si="243"/>
        <v>45</v>
      </c>
      <c r="S181" s="43">
        <f t="shared" si="243"/>
        <v>45</v>
      </c>
      <c r="T181" s="43">
        <f t="shared" si="243"/>
        <v>45</v>
      </c>
      <c r="U181" s="43">
        <f t="shared" si="243"/>
        <v>45</v>
      </c>
      <c r="V181" s="43">
        <f t="shared" si="243"/>
        <v>45</v>
      </c>
      <c r="W181" s="43">
        <f t="shared" ref="W181" si="244">W27*W30*IF(2031&gt;=W29,1,0)</f>
        <v>45</v>
      </c>
    </row>
    <row r="182" spans="1:23" x14ac:dyDescent="0.3">
      <c r="A182" s="14" t="s">
        <v>503</v>
      </c>
      <c r="B182" s="43">
        <f>B180+B181</f>
        <v>-4.3000000000000114</v>
      </c>
      <c r="C182" s="43">
        <f>C180+C181</f>
        <v>108.3</v>
      </c>
      <c r="D182" s="43">
        <f>D180+D181</f>
        <v>216.40000000000003</v>
      </c>
      <c r="H182" s="43">
        <f t="shared" ref="H182:V182" si="245">H180+H181</f>
        <v>108.3</v>
      </c>
      <c r="I182" s="43">
        <f t="shared" si="245"/>
        <v>63.3</v>
      </c>
      <c r="J182" s="43">
        <f t="shared" si="245"/>
        <v>108.3</v>
      </c>
      <c r="K182" s="43">
        <f t="shared" si="245"/>
        <v>76.8</v>
      </c>
      <c r="L182" s="43">
        <f t="shared" si="245"/>
        <v>88.3</v>
      </c>
      <c r="M182" s="43">
        <f t="shared" si="245"/>
        <v>108.3</v>
      </c>
      <c r="N182" s="43">
        <f t="shared" si="245"/>
        <v>108.3</v>
      </c>
      <c r="O182" s="43">
        <f t="shared" si="245"/>
        <v>108.3</v>
      </c>
      <c r="P182" s="43">
        <f t="shared" si="245"/>
        <v>108.3</v>
      </c>
      <c r="Q182" s="43">
        <f t="shared" si="245"/>
        <v>108.3</v>
      </c>
      <c r="R182" s="43">
        <f t="shared" si="245"/>
        <v>108.3</v>
      </c>
      <c r="S182" s="43">
        <f t="shared" si="245"/>
        <v>108.3</v>
      </c>
      <c r="T182" s="43">
        <f t="shared" si="245"/>
        <v>108.3</v>
      </c>
      <c r="U182" s="43">
        <f t="shared" si="245"/>
        <v>108.3</v>
      </c>
      <c r="V182" s="43">
        <f t="shared" si="245"/>
        <v>108.3</v>
      </c>
      <c r="W182" s="43">
        <f t="shared" ref="W182" si="246">W180+W181</f>
        <v>108.3</v>
      </c>
    </row>
    <row r="183" spans="1:23" x14ac:dyDescent="0.3">
      <c r="A183" s="14" t="s">
        <v>504</v>
      </c>
      <c r="B183" s="43">
        <f>B66*1+B68-B36*B180-B177</f>
        <v>24.129999999999988</v>
      </c>
      <c r="C183" s="43">
        <f>C66*1+C68-C36*C180-C177</f>
        <v>81.17</v>
      </c>
      <c r="D183" s="43">
        <f>D66*1+D68-D36*D180-D177</f>
        <v>151.46</v>
      </c>
      <c r="H183" s="43">
        <f t="shared" ref="H183:V183" si="247">H66*1+H68-H36*H180-H177</f>
        <v>81.17</v>
      </c>
      <c r="I183" s="43">
        <f t="shared" si="247"/>
        <v>81.17</v>
      </c>
      <c r="J183" s="43">
        <f t="shared" si="247"/>
        <v>81.17</v>
      </c>
      <c r="K183" s="43">
        <f t="shared" si="247"/>
        <v>52.82</v>
      </c>
      <c r="L183" s="43">
        <f t="shared" si="247"/>
        <v>63.17</v>
      </c>
      <c r="M183" s="43">
        <f t="shared" si="247"/>
        <v>81.17</v>
      </c>
      <c r="N183" s="43">
        <f t="shared" si="247"/>
        <v>81.17</v>
      </c>
      <c r="O183" s="43">
        <f t="shared" si="247"/>
        <v>81.17</v>
      </c>
      <c r="P183" s="43">
        <f t="shared" si="247"/>
        <v>81.17</v>
      </c>
      <c r="Q183" s="43">
        <f t="shared" si="247"/>
        <v>81.17</v>
      </c>
      <c r="R183" s="43">
        <f t="shared" si="247"/>
        <v>81.17</v>
      </c>
      <c r="S183" s="43">
        <f t="shared" si="247"/>
        <v>81.17</v>
      </c>
      <c r="T183" s="43">
        <f t="shared" si="247"/>
        <v>81.17</v>
      </c>
      <c r="U183" s="43">
        <f t="shared" si="247"/>
        <v>81.17</v>
      </c>
      <c r="V183" s="43">
        <f t="shared" si="247"/>
        <v>81.17</v>
      </c>
      <c r="W183" s="43">
        <f t="shared" ref="W183" si="248">W66*1+W68-W36*W180-W177</f>
        <v>81.17</v>
      </c>
    </row>
    <row r="184" spans="1:23" x14ac:dyDescent="0.3">
      <c r="A184" s="14" t="s">
        <v>505</v>
      </c>
      <c r="B184" s="43">
        <f>B181*(1-B36)-B178</f>
        <v>0</v>
      </c>
      <c r="C184" s="43">
        <f>C181*(1-C36)-C178</f>
        <v>40.5</v>
      </c>
      <c r="D184" s="43">
        <f>D181*(1-D36)-D178</f>
        <v>67.5</v>
      </c>
      <c r="H184" s="43">
        <f t="shared" ref="H184:V184" si="249">H181*(1-H36)-H178</f>
        <v>40.5</v>
      </c>
      <c r="I184" s="43">
        <f t="shared" si="249"/>
        <v>0</v>
      </c>
      <c r="J184" s="43">
        <f t="shared" si="249"/>
        <v>40.5</v>
      </c>
      <c r="K184" s="43">
        <f t="shared" si="249"/>
        <v>40.5</v>
      </c>
      <c r="L184" s="43">
        <f t="shared" si="249"/>
        <v>40.5</v>
      </c>
      <c r="M184" s="43">
        <f t="shared" si="249"/>
        <v>40.5</v>
      </c>
      <c r="N184" s="43">
        <f t="shared" si="249"/>
        <v>40.5</v>
      </c>
      <c r="O184" s="43">
        <f t="shared" si="249"/>
        <v>40.5</v>
      </c>
      <c r="P184" s="43">
        <f t="shared" si="249"/>
        <v>40.5</v>
      </c>
      <c r="Q184" s="43">
        <f t="shared" si="249"/>
        <v>40.5</v>
      </c>
      <c r="R184" s="43">
        <f t="shared" si="249"/>
        <v>40.5</v>
      </c>
      <c r="S184" s="43">
        <f t="shared" si="249"/>
        <v>40.5</v>
      </c>
      <c r="T184" s="43">
        <f t="shared" si="249"/>
        <v>40.5</v>
      </c>
      <c r="U184" s="43">
        <f t="shared" si="249"/>
        <v>40.5</v>
      </c>
      <c r="V184" s="43">
        <f t="shared" si="249"/>
        <v>40.5</v>
      </c>
      <c r="W184" s="43">
        <f t="shared" ref="W184" si="250">W181*(1-W36)-W178</f>
        <v>40.5</v>
      </c>
    </row>
    <row r="185" spans="1:23" x14ac:dyDescent="0.3">
      <c r="A185" s="14" t="s">
        <v>506</v>
      </c>
      <c r="B185" s="43">
        <f>B183/(1+B45)^5</f>
        <v>13.43814791569927</v>
      </c>
      <c r="C185" s="43">
        <f>C183/(1+C45)^5</f>
        <v>45.20408065964817</v>
      </c>
      <c r="D185" s="43">
        <f>D183/(1+D45)^5</f>
        <v>84.349021272764716</v>
      </c>
      <c r="H185" s="43">
        <f t="shared" ref="H185:V185" si="251">H183/(1+H45)^5</f>
        <v>45.20408065964817</v>
      </c>
      <c r="I185" s="43">
        <f t="shared" si="251"/>
        <v>45.20408065964817</v>
      </c>
      <c r="J185" s="43">
        <f t="shared" si="251"/>
        <v>45.20408065964817</v>
      </c>
      <c r="K185" s="43">
        <f t="shared" si="251"/>
        <v>29.41578835090078</v>
      </c>
      <c r="L185" s="43">
        <f t="shared" si="251"/>
        <v>35.179768082665703</v>
      </c>
      <c r="M185" s="43">
        <f t="shared" si="251"/>
        <v>43.861403196540323</v>
      </c>
      <c r="N185" s="43">
        <f t="shared" si="251"/>
        <v>45.20408065964817</v>
      </c>
      <c r="O185" s="43">
        <f t="shared" si="251"/>
        <v>45.20408065964817</v>
      </c>
      <c r="P185" s="43">
        <f t="shared" si="251"/>
        <v>45.20408065964817</v>
      </c>
      <c r="Q185" s="43">
        <f t="shared" si="251"/>
        <v>45.20408065964817</v>
      </c>
      <c r="R185" s="43">
        <f t="shared" si="251"/>
        <v>45.20408065964817</v>
      </c>
      <c r="S185" s="43">
        <f t="shared" si="251"/>
        <v>45.20408065964817</v>
      </c>
      <c r="T185" s="43">
        <f t="shared" si="251"/>
        <v>45.20408065964817</v>
      </c>
      <c r="U185" s="43">
        <f t="shared" si="251"/>
        <v>45.20408065964817</v>
      </c>
      <c r="V185" s="43">
        <f t="shared" si="251"/>
        <v>45.20408065964817</v>
      </c>
      <c r="W185" s="43">
        <f t="shared" ref="W185" si="252">W183/(1+W45)^5</f>
        <v>45.20408065964817</v>
      </c>
    </row>
    <row r="186" spans="1:23" x14ac:dyDescent="0.3">
      <c r="A186" s="14" t="s">
        <v>507</v>
      </c>
      <c r="B186" s="43">
        <f>B184/(1+B45)^5</f>
        <v>0</v>
      </c>
      <c r="C186" s="43">
        <f>C184/(1+C45)^5</f>
        <v>22.554703298210555</v>
      </c>
      <c r="D186" s="43">
        <f>D184/(1+D45)^5</f>
        <v>37.591172163684263</v>
      </c>
      <c r="H186" s="43">
        <f t="shared" ref="H186:V186" si="253">H184/(1+H45)^5</f>
        <v>22.554703298210555</v>
      </c>
      <c r="I186" s="43">
        <f t="shared" si="253"/>
        <v>0</v>
      </c>
      <c r="J186" s="43">
        <f t="shared" si="253"/>
        <v>22.554703298210555</v>
      </c>
      <c r="K186" s="43">
        <f t="shared" si="253"/>
        <v>22.554703298210555</v>
      </c>
      <c r="L186" s="43">
        <f t="shared" si="253"/>
        <v>22.554703298210555</v>
      </c>
      <c r="M186" s="43">
        <f t="shared" si="253"/>
        <v>21.884770598249144</v>
      </c>
      <c r="N186" s="43">
        <f t="shared" si="253"/>
        <v>22.554703298210555</v>
      </c>
      <c r="O186" s="43">
        <f t="shared" si="253"/>
        <v>22.554703298210555</v>
      </c>
      <c r="P186" s="43">
        <f t="shared" si="253"/>
        <v>22.554703298210555</v>
      </c>
      <c r="Q186" s="43">
        <f t="shared" si="253"/>
        <v>22.554703298210555</v>
      </c>
      <c r="R186" s="43">
        <f t="shared" si="253"/>
        <v>22.554703298210555</v>
      </c>
      <c r="S186" s="43">
        <f t="shared" si="253"/>
        <v>22.554703298210555</v>
      </c>
      <c r="T186" s="43">
        <f t="shared" si="253"/>
        <v>22.554703298210555</v>
      </c>
      <c r="U186" s="43">
        <f t="shared" si="253"/>
        <v>22.554703298210555</v>
      </c>
      <c r="V186" s="43">
        <f t="shared" si="253"/>
        <v>22.554703298210555</v>
      </c>
      <c r="W186" s="43">
        <f t="shared" ref="W186" si="254">W184/(1+W45)^5</f>
        <v>22.554703298210555</v>
      </c>
    </row>
    <row r="187" spans="1:23" x14ac:dyDescent="0.3">
      <c r="A187" s="14" t="s">
        <v>508</v>
      </c>
      <c r="B187" s="43">
        <f>IF(B167&gt;0,B16,B38)*B167</f>
        <v>58.061998435007155</v>
      </c>
      <c r="C187" s="43">
        <f>IF(C167&gt;0,C16,C38)*C167</f>
        <v>32.651762532309085</v>
      </c>
      <c r="D187" s="43">
        <f>IF(D167&gt;0,D16,D38)*D167</f>
        <v>65.718267391339594</v>
      </c>
      <c r="H187" s="43">
        <f t="shared" ref="H187:V187" si="255">IF(H167&gt;0,H16,H38)*H167</f>
        <v>32.651762532309085</v>
      </c>
      <c r="I187" s="43">
        <f t="shared" si="255"/>
        <v>83.482162989777891</v>
      </c>
      <c r="J187" s="43">
        <f t="shared" si="255"/>
        <v>34.66726963326505</v>
      </c>
      <c r="K187" s="43">
        <f t="shared" si="255"/>
        <v>25.243198531631581</v>
      </c>
      <c r="L187" s="43">
        <f t="shared" si="255"/>
        <v>27.947912373148785</v>
      </c>
      <c r="M187" s="43">
        <f t="shared" si="255"/>
        <v>32.651762532309085</v>
      </c>
      <c r="N187" s="43">
        <f t="shared" si="255"/>
        <v>32.651762532309085</v>
      </c>
      <c r="O187" s="43">
        <f t="shared" si="255"/>
        <v>49.255613888955509</v>
      </c>
      <c r="P187" s="43">
        <f t="shared" si="255"/>
        <v>26.988787173496959</v>
      </c>
      <c r="Q187" s="43">
        <f t="shared" si="255"/>
        <v>37.853024261108864</v>
      </c>
      <c r="R187" s="43">
        <f t="shared" si="255"/>
        <v>30.334060646201554</v>
      </c>
      <c r="S187" s="43">
        <f t="shared" si="255"/>
        <v>32.651762532309085</v>
      </c>
      <c r="T187" s="43">
        <f t="shared" si="255"/>
        <v>32.651762532309085</v>
      </c>
      <c r="U187" s="43">
        <f t="shared" si="255"/>
        <v>36.663783445109161</v>
      </c>
      <c r="V187" s="43">
        <f t="shared" si="255"/>
        <v>32.651762532309085</v>
      </c>
      <c r="W187" s="43">
        <f t="shared" ref="W187" si="256">IF(W167&gt;0,W16,W38)*W167</f>
        <v>33.500942932457249</v>
      </c>
    </row>
    <row r="188" spans="1:23" x14ac:dyDescent="0.3">
      <c r="A188" s="14" t="s">
        <v>509</v>
      </c>
      <c r="B188" s="43">
        <f>B173+B182+B187*(1-B37)</f>
        <v>168.10623198735544</v>
      </c>
      <c r="C188" s="43">
        <f>C173+C182+C187*(1-C37)</f>
        <v>347.09733208621947</v>
      </c>
      <c r="D188" s="43">
        <f>D173+D182+D187*(1-D37)</f>
        <v>578.0638574028718</v>
      </c>
      <c r="H188" s="43">
        <f t="shared" ref="H188:V188" si="257">H173+H182+H187*(1-H37)</f>
        <v>347.09733208621947</v>
      </c>
      <c r="I188" s="43">
        <f t="shared" si="257"/>
        <v>342.76165245219454</v>
      </c>
      <c r="J188" s="43">
        <f t="shared" si="257"/>
        <v>348.70973776698429</v>
      </c>
      <c r="K188" s="43">
        <f t="shared" si="257"/>
        <v>309.67048088567748</v>
      </c>
      <c r="L188" s="43">
        <f t="shared" si="257"/>
        <v>323.33425195889129</v>
      </c>
      <c r="M188" s="43">
        <f t="shared" si="257"/>
        <v>347.09733208621947</v>
      </c>
      <c r="N188" s="43">
        <f t="shared" si="257"/>
        <v>347.09733208621947</v>
      </c>
      <c r="O188" s="43">
        <f t="shared" si="257"/>
        <v>360.38041317153665</v>
      </c>
      <c r="P188" s="43">
        <f t="shared" si="257"/>
        <v>320.09707327591281</v>
      </c>
      <c r="Q188" s="43">
        <f t="shared" si="257"/>
        <v>371.89620616205417</v>
      </c>
      <c r="R188" s="43">
        <f t="shared" si="257"/>
        <v>336.04686006312284</v>
      </c>
      <c r="S188" s="43">
        <f t="shared" si="257"/>
        <v>347.09733208621947</v>
      </c>
      <c r="T188" s="43">
        <f t="shared" si="257"/>
        <v>347.09733208621947</v>
      </c>
      <c r="U188" s="43">
        <f t="shared" si="257"/>
        <v>366.22607557075537</v>
      </c>
      <c r="V188" s="43">
        <f t="shared" si="257"/>
        <v>347.09733208621947</v>
      </c>
      <c r="W188" s="43">
        <f t="shared" ref="W188" si="258">W173+W182+W187*(1-W37)</f>
        <v>353.41933876464606</v>
      </c>
    </row>
    <row r="189" spans="1:23" x14ac:dyDescent="0.3">
      <c r="A189" s="14" t="s">
        <v>510</v>
      </c>
      <c r="B189" s="27">
        <f>B15*'01_Số liệu gốc'!$B$8/1000</f>
        <v>110</v>
      </c>
      <c r="C189" s="27">
        <f>C15*'01_Số liệu gốc'!$B$8/1000</f>
        <v>165</v>
      </c>
      <c r="D189" s="27">
        <f>D15*'01_Số liệu gốc'!$B$8/1000</f>
        <v>220</v>
      </c>
      <c r="H189" s="27">
        <f>H15*'01_Số liệu gốc'!$B$8/1000</f>
        <v>165</v>
      </c>
      <c r="I189" s="27">
        <f>I15*'01_Số liệu gốc'!$B$8/1000</f>
        <v>165</v>
      </c>
      <c r="J189" s="27">
        <f>J15*'01_Số liệu gốc'!$B$8/1000</f>
        <v>165</v>
      </c>
      <c r="K189" s="27">
        <f>K15*'01_Số liệu gốc'!$B$8/1000</f>
        <v>165</v>
      </c>
      <c r="L189" s="27">
        <f>L15*'01_Số liệu gốc'!$B$8/1000</f>
        <v>165</v>
      </c>
      <c r="M189" s="27">
        <f>M15*'01_Số liệu gốc'!$B$8/1000</f>
        <v>165</v>
      </c>
      <c r="N189" s="27">
        <f>N15*'01_Số liệu gốc'!$B$8/1000</f>
        <v>165</v>
      </c>
      <c r="O189" s="27">
        <f>O15*'01_Số liệu gốc'!$B$8/1000</f>
        <v>110</v>
      </c>
      <c r="P189" s="27">
        <f>P15*'01_Số liệu gốc'!$B$8/1000</f>
        <v>165</v>
      </c>
      <c r="Q189" s="27">
        <f>Q15*'01_Số liệu gốc'!$B$8/1000</f>
        <v>165</v>
      </c>
      <c r="R189" s="27">
        <f>R15*'01_Số liệu gốc'!$B$8/1000</f>
        <v>165</v>
      </c>
      <c r="S189" s="27">
        <f>S15*'01_Số liệu gốc'!$B$8/1000</f>
        <v>165</v>
      </c>
      <c r="T189" s="27">
        <f>T15*'01_Số liệu gốc'!$B$8/1000</f>
        <v>165</v>
      </c>
      <c r="U189" s="27">
        <f>U15*'01_Số liệu gốc'!$B$8/1000</f>
        <v>165</v>
      </c>
      <c r="V189" s="27">
        <f>V15*'01_Số liệu gốc'!$B$8/1000</f>
        <v>165</v>
      </c>
      <c r="W189" s="27">
        <f>W15*'01_Số liệu gốc'!$B$8/1000</f>
        <v>165</v>
      </c>
    </row>
    <row r="190" spans="1:23" x14ac:dyDescent="0.3">
      <c r="A190" s="14" t="s">
        <v>511</v>
      </c>
      <c r="B190" s="43">
        <f>(B64-B24)*1</f>
        <v>28</v>
      </c>
      <c r="C190" s="43">
        <f>(C64-C24)*1</f>
        <v>24.200000000000003</v>
      </c>
      <c r="D190" s="43">
        <f>(D64-D24)*1</f>
        <v>24.200000000000003</v>
      </c>
      <c r="H190" s="43">
        <f t="shared" ref="H190:V190" si="259">(H64-H24)*1</f>
        <v>24.200000000000003</v>
      </c>
      <c r="I190" s="43">
        <f t="shared" si="259"/>
        <v>24.200000000000003</v>
      </c>
      <c r="J190" s="43">
        <f t="shared" si="259"/>
        <v>24.200000000000003</v>
      </c>
      <c r="K190" s="43">
        <f t="shared" si="259"/>
        <v>24.200000000000003</v>
      </c>
      <c r="L190" s="43">
        <f t="shared" si="259"/>
        <v>24.200000000000003</v>
      </c>
      <c r="M190" s="43">
        <f t="shared" si="259"/>
        <v>24.200000000000003</v>
      </c>
      <c r="N190" s="43">
        <f t="shared" si="259"/>
        <v>24.200000000000003</v>
      </c>
      <c r="O190" s="43">
        <f t="shared" si="259"/>
        <v>24.200000000000003</v>
      </c>
      <c r="P190" s="43">
        <f t="shared" si="259"/>
        <v>24.200000000000003</v>
      </c>
      <c r="Q190" s="43">
        <f t="shared" si="259"/>
        <v>24.200000000000003</v>
      </c>
      <c r="R190" s="43">
        <f t="shared" si="259"/>
        <v>24.200000000000003</v>
      </c>
      <c r="S190" s="43">
        <f t="shared" si="259"/>
        <v>24.200000000000003</v>
      </c>
      <c r="T190" s="43">
        <f t="shared" si="259"/>
        <v>24.200000000000003</v>
      </c>
      <c r="U190" s="43">
        <f t="shared" si="259"/>
        <v>24.200000000000003</v>
      </c>
      <c r="V190" s="43">
        <f t="shared" si="259"/>
        <v>24.200000000000003</v>
      </c>
      <c r="W190" s="43">
        <f t="shared" ref="W190" si="260">(W64-W24)*1</f>
        <v>24.200000000000003</v>
      </c>
    </row>
    <row r="191" spans="1:23" x14ac:dyDescent="0.3">
      <c r="A191" s="9" t="s">
        <v>512</v>
      </c>
      <c r="B191" s="67">
        <f>B167+B188*(1-B36)-B189-B179-B174+B190</f>
        <v>962.55712317334519</v>
      </c>
      <c r="C191" s="67">
        <f>C167+C188*(1-C36)-C189-C179-C174+C190</f>
        <v>622.40009713114534</v>
      </c>
      <c r="D191" s="67">
        <f>D167+D188*(1-D36)-D189-D179-D174+D190</f>
        <v>1172.5477849945084</v>
      </c>
      <c r="H191" s="67">
        <f t="shared" ref="H191:V191" si="261">H167+H188*(1-H36)-H189-H179-H174+H190</f>
        <v>622.40009713114534</v>
      </c>
      <c r="I191" s="67">
        <f t="shared" si="261"/>
        <v>1344.646563424363</v>
      </c>
      <c r="J191" s="67">
        <f t="shared" si="261"/>
        <v>652.64422082891895</v>
      </c>
      <c r="K191" s="67">
        <f t="shared" si="261"/>
        <v>482.87930246955034</v>
      </c>
      <c r="L191" s="67">
        <f t="shared" si="261"/>
        <v>533.81546559997435</v>
      </c>
      <c r="M191" s="67">
        <f t="shared" si="261"/>
        <v>622.40009713114534</v>
      </c>
      <c r="N191" s="67">
        <f t="shared" si="261"/>
        <v>622.40009713114534</v>
      </c>
      <c r="O191" s="67">
        <f t="shared" si="261"/>
        <v>926.55274663145121</v>
      </c>
      <c r="P191" s="67">
        <f t="shared" si="261"/>
        <v>517.20021621883905</v>
      </c>
      <c r="Q191" s="67">
        <f t="shared" si="261"/>
        <v>719.0228227822505</v>
      </c>
      <c r="R191" s="67">
        <f t="shared" si="261"/>
        <v>579.34464536596511</v>
      </c>
      <c r="S191" s="67">
        <f t="shared" si="261"/>
        <v>622.40009713114534</v>
      </c>
      <c r="T191" s="67">
        <f t="shared" si="261"/>
        <v>622.40009713114534</v>
      </c>
      <c r="U191" s="67">
        <f t="shared" si="261"/>
        <v>696.93055073580013</v>
      </c>
      <c r="V191" s="67">
        <f t="shared" si="261"/>
        <v>622.40009713114534</v>
      </c>
      <c r="W191" s="67">
        <f t="shared" ref="W191" si="262">W167+W188*(1-W36)-W189-W179-W174+W190</f>
        <v>640.22105171527448</v>
      </c>
    </row>
    <row r="192" spans="1:23" x14ac:dyDescent="0.3">
      <c r="A192" s="14" t="s">
        <v>513</v>
      </c>
      <c r="B192" s="43">
        <f>B168+B188*(1-B36)-B189</f>
        <v>2545.3881231733453</v>
      </c>
      <c r="C192" s="43">
        <f>C168+C188*(1-C36)-C189</f>
        <v>2926.4354229395058</v>
      </c>
      <c r="D192" s="43">
        <f>D168+D188*(1-D36)-D189</f>
        <v>3528.3650745991949</v>
      </c>
      <c r="H192" s="43">
        <f t="shared" ref="H192:V192" si="263">H168+H188*(1-H36)-H189</f>
        <v>2926.4354229395058</v>
      </c>
      <c r="I192" s="43">
        <f t="shared" si="263"/>
        <v>2936.7588892327235</v>
      </c>
      <c r="J192" s="43">
        <f t="shared" si="263"/>
        <v>2956.6795466372787</v>
      </c>
      <c r="K192" s="43">
        <f t="shared" si="263"/>
        <v>2786.9146282779111</v>
      </c>
      <c r="L192" s="43">
        <f t="shared" si="263"/>
        <v>2837.8507914083343</v>
      </c>
      <c r="M192" s="43">
        <f t="shared" si="263"/>
        <v>2926.4354229395058</v>
      </c>
      <c r="N192" s="43">
        <f t="shared" si="263"/>
        <v>2926.4354229395058</v>
      </c>
      <c r="O192" s="43">
        <f t="shared" si="263"/>
        <v>3230.5880724398116</v>
      </c>
      <c r="P192" s="43">
        <f t="shared" si="263"/>
        <v>2821.2355420271988</v>
      </c>
      <c r="Q192" s="43">
        <f t="shared" si="263"/>
        <v>3023.0581485906105</v>
      </c>
      <c r="R192" s="43">
        <f t="shared" si="263"/>
        <v>2883.3799711743254</v>
      </c>
      <c r="S192" s="43">
        <f t="shared" si="263"/>
        <v>2926.4354229395058</v>
      </c>
      <c r="T192" s="43">
        <f t="shared" si="263"/>
        <v>2926.4354229395058</v>
      </c>
      <c r="U192" s="43">
        <f t="shared" si="263"/>
        <v>3000.9658765441609</v>
      </c>
      <c r="V192" s="43">
        <f t="shared" si="263"/>
        <v>2926.4354229395058</v>
      </c>
      <c r="W192" s="43">
        <f t="shared" ref="W192" si="264">W168+W188*(1-W36)-W189</f>
        <v>2944.2563775236345</v>
      </c>
    </row>
    <row r="193" spans="1:23" x14ac:dyDescent="0.3">
      <c r="A193" s="14" t="s">
        <v>514</v>
      </c>
      <c r="B193" s="43">
        <f>B189/(1+B44)^5</f>
        <v>64.624937544366674</v>
      </c>
      <c r="C193" s="43">
        <f>C189/(1+C44)^5</f>
        <v>96.93740631655001</v>
      </c>
      <c r="D193" s="43">
        <f>D189/(1+D44)^5</f>
        <v>129.24987508873335</v>
      </c>
      <c r="H193" s="43">
        <f t="shared" ref="H193:V193" si="265">H189/(1+H44)^5</f>
        <v>96.93740631655001</v>
      </c>
      <c r="I193" s="43">
        <f t="shared" si="265"/>
        <v>96.93740631655001</v>
      </c>
      <c r="J193" s="43">
        <f t="shared" si="265"/>
        <v>96.93740631655001</v>
      </c>
      <c r="K193" s="43">
        <f t="shared" si="265"/>
        <v>96.93740631655001</v>
      </c>
      <c r="L193" s="43">
        <f t="shared" si="265"/>
        <v>96.93740631655001</v>
      </c>
      <c r="M193" s="43">
        <f t="shared" si="265"/>
        <v>94.46586952700406</v>
      </c>
      <c r="N193" s="43">
        <f t="shared" si="265"/>
        <v>91.889531955672638</v>
      </c>
      <c r="O193" s="43">
        <f t="shared" si="265"/>
        <v>64.624937544366674</v>
      </c>
      <c r="P193" s="43">
        <f t="shared" si="265"/>
        <v>96.93740631655001</v>
      </c>
      <c r="Q193" s="43">
        <f t="shared" si="265"/>
        <v>96.93740631655001</v>
      </c>
      <c r="R193" s="43">
        <f t="shared" si="265"/>
        <v>96.93740631655001</v>
      </c>
      <c r="S193" s="43">
        <f t="shared" si="265"/>
        <v>96.93740631655001</v>
      </c>
      <c r="T193" s="43">
        <f t="shared" si="265"/>
        <v>96.93740631655001</v>
      </c>
      <c r="U193" s="43">
        <f t="shared" si="265"/>
        <v>96.93740631655001</v>
      </c>
      <c r="V193" s="43">
        <f t="shared" si="265"/>
        <v>99.793215424897554</v>
      </c>
      <c r="W193" s="43">
        <f t="shared" ref="W193" si="266">W189/(1+W44)^5</f>
        <v>96.93740631655001</v>
      </c>
    </row>
    <row r="194" spans="1:23" x14ac:dyDescent="0.3">
      <c r="A194" s="9" t="s">
        <v>519</v>
      </c>
      <c r="B194" s="67">
        <f>MIN(B95,B119,B143,B167,B191)</f>
        <v>697.83027123100487</v>
      </c>
      <c r="C194" s="67">
        <f>MIN(C95,C119,C143,C167,C191)</f>
        <v>321.41034144096801</v>
      </c>
      <c r="D194" s="67">
        <f>MIN(D95,D119,D143,D167,D191)</f>
        <v>129.64709031022289</v>
      </c>
      <c r="F194" s="38" t="s">
        <v>520</v>
      </c>
      <c r="H194" s="67">
        <f t="shared" ref="H194:V194" si="267">MIN(H95,H119,H143,H167,H191)</f>
        <v>321.41034144096801</v>
      </c>
      <c r="I194" s="67">
        <f t="shared" si="267"/>
        <v>798.341099635202</v>
      </c>
      <c r="J194" s="67">
        <f t="shared" si="267"/>
        <v>86.41809963520214</v>
      </c>
      <c r="K194" s="67">
        <f t="shared" si="267"/>
        <v>247.64165467296795</v>
      </c>
      <c r="L194" s="67">
        <f t="shared" si="267"/>
        <v>274.57308000096822</v>
      </c>
      <c r="M194" s="67">
        <f t="shared" si="267"/>
        <v>321.41034144096801</v>
      </c>
      <c r="N194" s="67">
        <f t="shared" si="267"/>
        <v>321.41034144096801</v>
      </c>
      <c r="O194" s="67">
        <f t="shared" si="267"/>
        <v>494.86605024096826</v>
      </c>
      <c r="P194" s="67">
        <f t="shared" si="267"/>
        <v>263.08420516408961</v>
      </c>
      <c r="Q194" s="67">
        <f t="shared" si="267"/>
        <v>374.98103196739174</v>
      </c>
      <c r="R194" s="67">
        <f t="shared" si="267"/>
        <v>297.53903925563731</v>
      </c>
      <c r="S194" s="67">
        <f t="shared" si="267"/>
        <v>321.41034144096801</v>
      </c>
      <c r="T194" s="67">
        <f t="shared" si="267"/>
        <v>321.41034144096801</v>
      </c>
      <c r="U194" s="67">
        <f t="shared" si="267"/>
        <v>362.73237865264826</v>
      </c>
      <c r="V194" s="67">
        <f t="shared" si="267"/>
        <v>321.41034144096801</v>
      </c>
      <c r="W194" s="67">
        <f t="shared" ref="W194" si="268">MIN(W95,W119,W143,W167,W191)</f>
        <v>328.99222139818659</v>
      </c>
    </row>
    <row r="195" spans="1:23" x14ac:dyDescent="0.3">
      <c r="A195" s="14" t="s">
        <v>521</v>
      </c>
      <c r="B195" s="62" t="str">
        <f>IF(B95&lt;0,2027,IF(B119&lt;0,2028,IF(B143&lt;0,2029,IF(B167&lt;0,2030,IF(B191&lt;0,2031,"không")))))</f>
        <v>không</v>
      </c>
      <c r="C195" s="62" t="str">
        <f>IF(C95&lt;0,2027,IF(C119&lt;0,2028,IF(C143&lt;0,2029,IF(C167&lt;0,2030,IF(C191&lt;0,2031,"không")))))</f>
        <v>không</v>
      </c>
      <c r="D195" s="62" t="str">
        <f>IF(D95&lt;0,2027,IF(D119&lt;0,2028,IF(D143&lt;0,2029,IF(D167&lt;0,2030,IF(D191&lt;0,2031,"không")))))</f>
        <v>không</v>
      </c>
      <c r="H195" s="62" t="str">
        <f t="shared" ref="H195:V195" si="269">IF(H95&lt;0,2027,IF(H119&lt;0,2028,IF(H143&lt;0,2029,IF(H167&lt;0,2030,IF(H191&lt;0,2031,"không")))))</f>
        <v>không</v>
      </c>
      <c r="I195" s="62" t="str">
        <f t="shared" si="269"/>
        <v>không</v>
      </c>
      <c r="J195" s="62" t="str">
        <f t="shared" si="269"/>
        <v>không</v>
      </c>
      <c r="K195" s="62" t="str">
        <f t="shared" si="269"/>
        <v>không</v>
      </c>
      <c r="L195" s="62" t="str">
        <f t="shared" si="269"/>
        <v>không</v>
      </c>
      <c r="M195" s="62" t="str">
        <f t="shared" si="269"/>
        <v>không</v>
      </c>
      <c r="N195" s="62" t="str">
        <f t="shared" si="269"/>
        <v>không</v>
      </c>
      <c r="O195" s="62" t="str">
        <f t="shared" si="269"/>
        <v>không</v>
      </c>
      <c r="P195" s="62" t="str">
        <f t="shared" si="269"/>
        <v>không</v>
      </c>
      <c r="Q195" s="62" t="str">
        <f t="shared" si="269"/>
        <v>không</v>
      </c>
      <c r="R195" s="62" t="str">
        <f t="shared" si="269"/>
        <v>không</v>
      </c>
      <c r="S195" s="62" t="str">
        <f t="shared" si="269"/>
        <v>không</v>
      </c>
      <c r="T195" s="62" t="str">
        <f t="shared" si="269"/>
        <v>không</v>
      </c>
      <c r="U195" s="62" t="str">
        <f t="shared" si="269"/>
        <v>không</v>
      </c>
      <c r="V195" s="62" t="str">
        <f t="shared" si="269"/>
        <v>không</v>
      </c>
      <c r="W195" s="62" t="str">
        <f t="shared" ref="W195" si="270">IF(W95&lt;0,2027,IF(W119&lt;0,2028,IF(W143&lt;0,2029,IF(W167&lt;0,2030,IF(W191&lt;0,2031,"không")))))</f>
        <v>không</v>
      </c>
    </row>
    <row r="197" spans="1:23" x14ac:dyDescent="0.3">
      <c r="A197" s="51" t="s">
        <v>522</v>
      </c>
      <c r="B197" s="52"/>
      <c r="C197" s="52"/>
      <c r="D197" s="52"/>
      <c r="E197" s="52"/>
      <c r="F197" s="52"/>
      <c r="G197" s="52"/>
      <c r="H197" s="52"/>
      <c r="I197" s="52"/>
      <c r="J197" s="52"/>
      <c r="K197" s="52"/>
      <c r="L197" s="52"/>
      <c r="M197" s="52"/>
      <c r="N197" s="52"/>
      <c r="O197" s="52"/>
      <c r="P197" s="52"/>
      <c r="Q197" s="52"/>
      <c r="R197" s="52"/>
      <c r="S197" s="52"/>
      <c r="T197" s="52"/>
      <c r="U197" s="52"/>
      <c r="V197" s="52"/>
      <c r="W197" s="52"/>
    </row>
    <row r="198" spans="1:23" x14ac:dyDescent="0.3">
      <c r="A198" s="14" t="s">
        <v>523</v>
      </c>
      <c r="B198" s="43">
        <f>B66+B68-B36*(B65+B68)</f>
        <v>24.129999999999988</v>
      </c>
      <c r="C198" s="43">
        <f>C66+C68-C36*(C65+C68)</f>
        <v>81.17</v>
      </c>
      <c r="D198" s="43">
        <f>D66+D68-D36*(D65+D68)</f>
        <v>151.46</v>
      </c>
      <c r="H198" s="43">
        <f t="shared" ref="H198:V198" si="271">H66+H68-H36*(H65+H68)</f>
        <v>81.17</v>
      </c>
      <c r="I198" s="43">
        <f t="shared" si="271"/>
        <v>81.17</v>
      </c>
      <c r="J198" s="43">
        <f t="shared" si="271"/>
        <v>81.17</v>
      </c>
      <c r="K198" s="43">
        <f t="shared" si="271"/>
        <v>52.82</v>
      </c>
      <c r="L198" s="43">
        <f t="shared" si="271"/>
        <v>63.17</v>
      </c>
      <c r="M198" s="43">
        <f t="shared" si="271"/>
        <v>81.17</v>
      </c>
      <c r="N198" s="43">
        <f t="shared" si="271"/>
        <v>81.17</v>
      </c>
      <c r="O198" s="43">
        <f t="shared" si="271"/>
        <v>81.17</v>
      </c>
      <c r="P198" s="43">
        <f t="shared" si="271"/>
        <v>81.17</v>
      </c>
      <c r="Q198" s="43">
        <f t="shared" si="271"/>
        <v>81.17</v>
      </c>
      <c r="R198" s="43">
        <f t="shared" si="271"/>
        <v>81.17</v>
      </c>
      <c r="S198" s="43">
        <f t="shared" si="271"/>
        <v>81.17</v>
      </c>
      <c r="T198" s="43">
        <f t="shared" si="271"/>
        <v>81.17</v>
      </c>
      <c r="U198" s="43">
        <f t="shared" si="271"/>
        <v>81.17</v>
      </c>
      <c r="V198" s="43">
        <f t="shared" si="271"/>
        <v>81.17</v>
      </c>
      <c r="W198" s="43">
        <f t="shared" ref="W198" si="272">W66+W68-W36*(W65+W68)</f>
        <v>81.17</v>
      </c>
    </row>
    <row r="199" spans="1:23" x14ac:dyDescent="0.3">
      <c r="A199" s="14" t="s">
        <v>524</v>
      </c>
      <c r="B199" s="43">
        <f>B27*B30*(1-B36)</f>
        <v>0</v>
      </c>
      <c r="C199" s="43">
        <f>C27*C30*(1-C36)</f>
        <v>40.5</v>
      </c>
      <c r="D199" s="43">
        <f>D27*D30*(1-D36)</f>
        <v>67.5</v>
      </c>
      <c r="H199" s="43">
        <f t="shared" ref="H199:V199" si="273">H27*H30*(1-H36)</f>
        <v>40.5</v>
      </c>
      <c r="I199" s="43">
        <f t="shared" si="273"/>
        <v>0</v>
      </c>
      <c r="J199" s="43">
        <f t="shared" si="273"/>
        <v>40.5</v>
      </c>
      <c r="K199" s="43">
        <f t="shared" si="273"/>
        <v>40.5</v>
      </c>
      <c r="L199" s="43">
        <f t="shared" si="273"/>
        <v>40.5</v>
      </c>
      <c r="M199" s="43">
        <f t="shared" si="273"/>
        <v>40.5</v>
      </c>
      <c r="N199" s="43">
        <f t="shared" si="273"/>
        <v>40.5</v>
      </c>
      <c r="O199" s="43">
        <f t="shared" si="273"/>
        <v>40.5</v>
      </c>
      <c r="P199" s="43">
        <f t="shared" si="273"/>
        <v>40.5</v>
      </c>
      <c r="Q199" s="43">
        <f t="shared" si="273"/>
        <v>40.5</v>
      </c>
      <c r="R199" s="43">
        <f t="shared" si="273"/>
        <v>40.5</v>
      </c>
      <c r="S199" s="43">
        <f t="shared" si="273"/>
        <v>40.5</v>
      </c>
      <c r="T199" s="43">
        <f t="shared" si="273"/>
        <v>40.5</v>
      </c>
      <c r="U199" s="43">
        <f t="shared" si="273"/>
        <v>40.5</v>
      </c>
      <c r="V199" s="43">
        <f t="shared" si="273"/>
        <v>40.5</v>
      </c>
      <c r="W199" s="43">
        <f t="shared" ref="W199" si="274">W27*W30*(1-W36)</f>
        <v>40.5</v>
      </c>
    </row>
    <row r="200" spans="1:23" x14ac:dyDescent="0.3">
      <c r="A200" s="9" t="s">
        <v>525</v>
      </c>
      <c r="B200" s="67">
        <f>B89+B113+B137+B161+B185+B198*B71/(1+B45)^5</f>
        <v>-525.57969382150839</v>
      </c>
      <c r="C200" s="67">
        <f>C89+C113+C137+C161+C185+C198*C71/(1+C45)^5</f>
        <v>-47.597289165183327</v>
      </c>
      <c r="D200" s="67">
        <f>D89+D113+D137+D161+D185+D198*D71/(1+D45)^5</f>
        <v>463.83391152323651</v>
      </c>
      <c r="H200" s="67">
        <f t="shared" ref="H200:V200" si="275">H89+H113+H137+H161+H185+H198*H71/(1+H45)^5</f>
        <v>-47.597289165183327</v>
      </c>
      <c r="I200" s="67">
        <f t="shared" si="275"/>
        <v>-47.597289165183327</v>
      </c>
      <c r="J200" s="67">
        <f t="shared" si="275"/>
        <v>-47.597289165183327</v>
      </c>
      <c r="K200" s="67">
        <f t="shared" si="275"/>
        <v>-251.02157207694728</v>
      </c>
      <c r="L200" s="67">
        <f t="shared" si="275"/>
        <v>-176.75556402979521</v>
      </c>
      <c r="M200" s="67">
        <f t="shared" si="275"/>
        <v>-71.054143400226906</v>
      </c>
      <c r="N200" s="67">
        <f t="shared" si="275"/>
        <v>-47.597289165183327</v>
      </c>
      <c r="O200" s="67">
        <f t="shared" si="275"/>
        <v>-47.597289165183327</v>
      </c>
      <c r="P200" s="67">
        <f t="shared" si="275"/>
        <v>-47.597289165183327</v>
      </c>
      <c r="Q200" s="67">
        <f t="shared" si="275"/>
        <v>-47.597289165183327</v>
      </c>
      <c r="R200" s="67">
        <f t="shared" si="275"/>
        <v>-47.597289165183327</v>
      </c>
      <c r="S200" s="67">
        <f t="shared" si="275"/>
        <v>-47.597289165183327</v>
      </c>
      <c r="T200" s="67">
        <f t="shared" si="275"/>
        <v>-47.597289165183327</v>
      </c>
      <c r="U200" s="67">
        <f t="shared" si="275"/>
        <v>-47.597289165183327</v>
      </c>
      <c r="V200" s="67">
        <f t="shared" si="275"/>
        <v>-47.597289165183327</v>
      </c>
      <c r="W200" s="67">
        <f t="shared" ref="W200" si="276">W89+W113+W137+W161+W185+W198*W71/(1+W45)^5</f>
        <v>-47.597289165183327</v>
      </c>
    </row>
    <row r="201" spans="1:23" x14ac:dyDescent="0.3">
      <c r="A201" s="9" t="s">
        <v>526</v>
      </c>
      <c r="B201" s="67">
        <f>B90+B114+B138+B162+B186+B199*B71/(1+B45)^5</f>
        <v>0</v>
      </c>
      <c r="C201" s="67">
        <f>C90+C114+C138+C162+C186+C199*C71/(1+C45)^5</f>
        <v>-320.14866366220974</v>
      </c>
      <c r="D201" s="67">
        <f>D90+D114+D138+D162+D186+D199*D71/(1+D45)^5</f>
        <v>-178.94858809776912</v>
      </c>
      <c r="H201" s="67">
        <f t="shared" ref="H201:V201" si="277">H90+H114+H138+H162+H186+H199*H71/(1+H45)^5</f>
        <v>-320.14866366220974</v>
      </c>
      <c r="I201" s="67">
        <f t="shared" si="277"/>
        <v>0</v>
      </c>
      <c r="J201" s="67">
        <f t="shared" si="277"/>
        <v>-360.67746098888733</v>
      </c>
      <c r="K201" s="67">
        <f t="shared" si="277"/>
        <v>-320.14866366220974</v>
      </c>
      <c r="L201" s="67">
        <f t="shared" si="277"/>
        <v>-320.14866366220974</v>
      </c>
      <c r="M201" s="67">
        <f t="shared" si="277"/>
        <v>-324.8705013612165</v>
      </c>
      <c r="N201" s="67">
        <f t="shared" si="277"/>
        <v>-320.14866366220974</v>
      </c>
      <c r="O201" s="67">
        <f t="shared" si="277"/>
        <v>-320.14866366220974</v>
      </c>
      <c r="P201" s="67">
        <f t="shared" si="277"/>
        <v>-320.14866366220974</v>
      </c>
      <c r="Q201" s="67">
        <f t="shared" si="277"/>
        <v>-320.14866366220974</v>
      </c>
      <c r="R201" s="67">
        <f t="shared" si="277"/>
        <v>-320.14866366220974</v>
      </c>
      <c r="S201" s="67">
        <f t="shared" si="277"/>
        <v>-320.14866366220974</v>
      </c>
      <c r="T201" s="67">
        <f t="shared" si="277"/>
        <v>-320.14866366220974</v>
      </c>
      <c r="U201" s="67">
        <f t="shared" si="277"/>
        <v>-320.14866366220974</v>
      </c>
      <c r="V201" s="67">
        <f t="shared" si="277"/>
        <v>-320.14866366220974</v>
      </c>
      <c r="W201" s="67">
        <f t="shared" ref="W201" si="278">W90+W114+W138+W162+W186+W199*W71/(1+W45)^5</f>
        <v>-320.14866366220974</v>
      </c>
    </row>
    <row r="202" spans="1:23" x14ac:dyDescent="0.3">
      <c r="A202" s="9" t="s">
        <v>527</v>
      </c>
      <c r="B202" s="68">
        <f>B200+B201</f>
        <v>-525.57969382150839</v>
      </c>
      <c r="C202" s="68">
        <f>C200+C201</f>
        <v>-367.74595282739307</v>
      </c>
      <c r="D202" s="68">
        <f>D200+D201</f>
        <v>284.88532342546739</v>
      </c>
      <c r="F202" s="38" t="s">
        <v>881</v>
      </c>
      <c r="H202" s="68">
        <f t="shared" ref="H202:V202" si="279">H200+H201</f>
        <v>-367.74595282739307</v>
      </c>
      <c r="I202" s="68">
        <f t="shared" si="279"/>
        <v>-47.597289165183327</v>
      </c>
      <c r="J202" s="68">
        <f t="shared" si="279"/>
        <v>-408.27475015407066</v>
      </c>
      <c r="K202" s="68">
        <f t="shared" si="279"/>
        <v>-571.17023573915708</v>
      </c>
      <c r="L202" s="68">
        <f t="shared" si="279"/>
        <v>-496.90422769200495</v>
      </c>
      <c r="M202" s="68">
        <f t="shared" si="279"/>
        <v>-395.9246447614434</v>
      </c>
      <c r="N202" s="68">
        <f t="shared" si="279"/>
        <v>-367.74595282739307</v>
      </c>
      <c r="O202" s="68">
        <f t="shared" si="279"/>
        <v>-367.74595282739307</v>
      </c>
      <c r="P202" s="68">
        <f t="shared" si="279"/>
        <v>-367.74595282739307</v>
      </c>
      <c r="Q202" s="68">
        <f t="shared" si="279"/>
        <v>-367.74595282739307</v>
      </c>
      <c r="R202" s="68">
        <f t="shared" si="279"/>
        <v>-367.74595282739307</v>
      </c>
      <c r="S202" s="68">
        <f t="shared" si="279"/>
        <v>-367.74595282739307</v>
      </c>
      <c r="T202" s="68">
        <f t="shared" si="279"/>
        <v>-367.74595282739307</v>
      </c>
      <c r="U202" s="68">
        <f t="shared" si="279"/>
        <v>-367.74595282739307</v>
      </c>
      <c r="V202" s="68">
        <f t="shared" si="279"/>
        <v>-367.74595282739307</v>
      </c>
      <c r="W202" s="68">
        <f t="shared" ref="W202" si="280">W200+W201</f>
        <v>-367.74595282739307</v>
      </c>
    </row>
    <row r="203" spans="1:23" x14ac:dyDescent="0.3">
      <c r="A203" s="14" t="s">
        <v>528</v>
      </c>
      <c r="B203" s="15">
        <f>B202*1000/'01_Số liệu gốc'!$B$8</f>
        <v>-4777.997216559168</v>
      </c>
      <c r="C203" s="15">
        <f>C202*1000/'01_Số liệu gốc'!$B$8</f>
        <v>-3343.1450257035735</v>
      </c>
      <c r="D203" s="15">
        <f>D202*1000/'01_Số liệu gốc'!$B$8</f>
        <v>2589.8665765951582</v>
      </c>
      <c r="H203" s="15">
        <f>H202*1000/'01_Số liệu gốc'!$B$8</f>
        <v>-3343.1450257035735</v>
      </c>
      <c r="I203" s="15">
        <f>I202*1000/'01_Số liệu gốc'!$B$8</f>
        <v>-432.70262877439387</v>
      </c>
      <c r="J203" s="15">
        <f>J202*1000/'01_Số liệu gốc'!$B$8</f>
        <v>-3711.5886377642787</v>
      </c>
      <c r="K203" s="15">
        <f>K202*1000/'01_Số liệu gốc'!$B$8</f>
        <v>-5192.4566885377917</v>
      </c>
      <c r="L203" s="15">
        <f>L202*1000/'01_Số liệu gốc'!$B$8</f>
        <v>-4517.3111608364088</v>
      </c>
      <c r="M203" s="15">
        <f>M202*1000/'01_Số liệu gốc'!$B$8</f>
        <v>-3599.3149523767584</v>
      </c>
      <c r="N203" s="15">
        <f>N202*1000/'01_Số liệu gốc'!$B$8</f>
        <v>-3343.1450257035735</v>
      </c>
      <c r="O203" s="15">
        <f>O202*1000/'01_Số liệu gốc'!$B$8</f>
        <v>-3343.1450257035735</v>
      </c>
      <c r="P203" s="15">
        <f>P202*1000/'01_Số liệu gốc'!$B$8</f>
        <v>-3343.1450257035735</v>
      </c>
      <c r="Q203" s="15">
        <f>Q202*1000/'01_Số liệu gốc'!$B$8</f>
        <v>-3343.1450257035735</v>
      </c>
      <c r="R203" s="15">
        <f>R202*1000/'01_Số liệu gốc'!$B$8</f>
        <v>-3343.1450257035735</v>
      </c>
      <c r="S203" s="15">
        <f>S202*1000/'01_Số liệu gốc'!$B$8</f>
        <v>-3343.1450257035735</v>
      </c>
      <c r="T203" s="15">
        <f>T202*1000/'01_Số liệu gốc'!$B$8</f>
        <v>-3343.1450257035735</v>
      </c>
      <c r="U203" s="15">
        <f>U202*1000/'01_Số liệu gốc'!$B$8</f>
        <v>-3343.1450257035735</v>
      </c>
      <c r="V203" s="15">
        <f>V202*1000/'01_Số liệu gốc'!$B$8</f>
        <v>-3343.1450257035735</v>
      </c>
      <c r="W203" s="15">
        <f>W202*1000/'01_Số liệu gốc'!$B$8</f>
        <v>-3343.1450257035735</v>
      </c>
    </row>
    <row r="204" spans="1:23" x14ac:dyDescent="0.3">
      <c r="A204" s="14" t="s">
        <v>529</v>
      </c>
      <c r="B204" s="69">
        <f>(1-B36)*(B20/(1+B45)+1/(1+B45)^2+1/(1+B45)^3+1/(1+B45)^4+1/(1+B45)^5+B71/(1+B45)^5)</f>
        <v>6.2977998844866034</v>
      </c>
      <c r="C204" s="69">
        <f>(1-C36)*(C20/(1+C45)+1/(1+C45)^2+1/(1+C45)^3+1/(1+C45)^4+1/(1+C45)^5+C71/(1+C45)^5)</f>
        <v>6.4579137432305993</v>
      </c>
      <c r="D204" s="69">
        <f>(1-D36)*(D20/(1+D45)+1/(1+D45)^2+1/(1+D45)^3+1/(1+D45)^4+1/(1+D45)^5+D71/(1+D45)^5)</f>
        <v>6.5379706726025972</v>
      </c>
      <c r="F204" s="38" t="s">
        <v>530</v>
      </c>
      <c r="H204" s="69">
        <f t="shared" ref="H204:V204" si="281">(1-H36)*(H20/(1+H45)+1/(1+H45)^2+1/(1+H45)^3+1/(1+H45)^4+1/(1+H45)^5+H71/(1+H45)^5)</f>
        <v>6.4579137432305993</v>
      </c>
      <c r="I204" s="69">
        <f t="shared" si="281"/>
        <v>6.4579137432305993</v>
      </c>
      <c r="J204" s="69">
        <f t="shared" si="281"/>
        <v>6.4579137432305993</v>
      </c>
      <c r="K204" s="69">
        <f t="shared" si="281"/>
        <v>6.4579137432305993</v>
      </c>
      <c r="L204" s="69">
        <f t="shared" si="281"/>
        <v>6.4579137432305993</v>
      </c>
      <c r="M204" s="69">
        <f t="shared" si="281"/>
        <v>6.1558274278564253</v>
      </c>
      <c r="N204" s="69">
        <f t="shared" si="281"/>
        <v>6.4579137432305993</v>
      </c>
      <c r="O204" s="69">
        <f t="shared" si="281"/>
        <v>6.4579137432305993</v>
      </c>
      <c r="P204" s="69">
        <f t="shared" si="281"/>
        <v>6.4579137432305993</v>
      </c>
      <c r="Q204" s="69">
        <f t="shared" si="281"/>
        <v>6.4579137432305993</v>
      </c>
      <c r="R204" s="69">
        <f t="shared" si="281"/>
        <v>6.4579137432305993</v>
      </c>
      <c r="S204" s="69">
        <f t="shared" si="281"/>
        <v>6.4579137432305993</v>
      </c>
      <c r="T204" s="69">
        <f t="shared" si="281"/>
        <v>6.4579137432305993</v>
      </c>
      <c r="U204" s="69">
        <f t="shared" si="281"/>
        <v>6.4579137432305993</v>
      </c>
      <c r="V204" s="69">
        <f t="shared" si="281"/>
        <v>6.4579137432305993</v>
      </c>
      <c r="W204" s="69">
        <f t="shared" ref="W204" si="282">(1-W36)*(W20/(1+W45)+1/(1+W45)^2+1/(1+W45)^3+1/(1+W45)^4+1/(1+W45)^5+W71/(1+W45)^5)</f>
        <v>6.4579137432305993</v>
      </c>
    </row>
    <row r="205" spans="1:23" x14ac:dyDescent="0.3">
      <c r="A205" s="9" t="s">
        <v>531</v>
      </c>
      <c r="B205" s="71">
        <f>B21-B200/(B204*B19*(1+B23)/1000)</f>
        <v>17415.581618756431</v>
      </c>
      <c r="C205" s="71">
        <f>C21-C200/(C204*C19*(1+C23)/1000)</f>
        <v>14850.970556345739</v>
      </c>
      <c r="D205" s="71">
        <f>D21-D200/(D204*D19*(1+D23)/1000)</f>
        <v>12928.803888127884</v>
      </c>
      <c r="H205" s="71">
        <f t="shared" ref="H205:V205" si="283">H21-H200/(H204*H19*(1+H23)/1000)</f>
        <v>14850.970556345739</v>
      </c>
      <c r="I205" s="71">
        <f t="shared" si="283"/>
        <v>14850.970556345739</v>
      </c>
      <c r="J205" s="71">
        <f t="shared" si="283"/>
        <v>14850.970556345739</v>
      </c>
      <c r="K205" s="71">
        <f t="shared" si="283"/>
        <v>14850.970556345741</v>
      </c>
      <c r="L205" s="71">
        <f t="shared" si="283"/>
        <v>15803.351508726691</v>
      </c>
      <c r="M205" s="71">
        <f t="shared" si="283"/>
        <v>15049.646766053715</v>
      </c>
      <c r="N205" s="71">
        <f t="shared" si="283"/>
        <v>14850.970556345739</v>
      </c>
      <c r="O205" s="71">
        <f t="shared" si="283"/>
        <v>14850.970556345739</v>
      </c>
      <c r="P205" s="71">
        <f t="shared" si="283"/>
        <v>14850.970556345739</v>
      </c>
      <c r="Q205" s="71">
        <f t="shared" si="283"/>
        <v>14850.970556345739</v>
      </c>
      <c r="R205" s="71">
        <f t="shared" si="283"/>
        <v>14850.970556345739</v>
      </c>
      <c r="S205" s="71">
        <f t="shared" si="283"/>
        <v>14850.970556345739</v>
      </c>
      <c r="T205" s="71">
        <f t="shared" si="283"/>
        <v>14850.970556345739</v>
      </c>
      <c r="U205" s="71">
        <f t="shared" si="283"/>
        <v>14850.970556345739</v>
      </c>
      <c r="V205" s="71">
        <f t="shared" si="283"/>
        <v>14850.970556345739</v>
      </c>
      <c r="W205" s="71">
        <f t="shared" ref="W205" si="284">W21-W200/(W204*W19*(1+W23)/1000)</f>
        <v>14850.970556345739</v>
      </c>
    </row>
    <row r="206" spans="1:23" x14ac:dyDescent="0.3">
      <c r="A206" s="14" t="s">
        <v>532</v>
      </c>
      <c r="B206" s="69">
        <f>B27*(1-B36)*(IF(2027&gt;=B29,1,0)/(1+B45)^1+IF(2028&gt;=B29,1,0)/(1+B45)^2+IF(2029&gt;=B29,1,0)/(1+B45)^3+IF(2030&gt;=B29,1,0)/(1+B45)^4+IF(2031&gt;=B29,1,0)/(1+B45)^5+B71/(1+B45)^5)</f>
        <v>0</v>
      </c>
      <c r="C206" s="69">
        <f>C27*(1-C36)*(IF(2027&gt;=C29,1,0)/(1+C45)^1+IF(2028&gt;=C29,1,0)/(1+C45)^2+IF(2029&gt;=C29,1,0)/(1+C45)^3+IF(2030&gt;=C29,1,0)/(1+C45)^4+IF(2031&gt;=C29,1,0)/(1+C45)^5+C71/(1+C45)^5)</f>
        <v>4.7120563845209134</v>
      </c>
      <c r="D206" s="69">
        <f>D27*(1-D36)*(IF(2027&gt;=D29,1,0)/(1+D45)^1+IF(2028&gt;=D29,1,0)/(1+D45)^2+IF(2029&gt;=D29,1,0)/(1+D45)^3+IF(2030&gt;=D29,1,0)/(1+D45)^4+IF(2031&gt;=D29,1,0)/(1+D45)^5+D71/(1+D45)^5)</f>
        <v>6.0576290963706105</v>
      </c>
      <c r="H206" s="69">
        <f t="shared" ref="H206:V206" si="285">H27*(1-H36)*(IF(2027&gt;=H29,1,0)/(1+H45)^1+IF(2028&gt;=H29,1,0)/(1+H45)^2+IF(2029&gt;=H29,1,0)/(1+H45)^3+IF(2030&gt;=H29,1,0)/(1+H45)^4+IF(2031&gt;=H29,1,0)/(1+H45)^5+H71/(1+H45)^5)</f>
        <v>4.7120563845209134</v>
      </c>
      <c r="I206" s="69">
        <f t="shared" si="285"/>
        <v>0</v>
      </c>
      <c r="J206" s="69">
        <f t="shared" si="285"/>
        <v>6.0576290963706105</v>
      </c>
      <c r="K206" s="69">
        <f t="shared" si="285"/>
        <v>4.7120563845209134</v>
      </c>
      <c r="L206" s="69">
        <f t="shared" si="285"/>
        <v>4.7120563845209134</v>
      </c>
      <c r="M206" s="69">
        <f t="shared" si="285"/>
        <v>4.43227115294673</v>
      </c>
      <c r="N206" s="69">
        <f t="shared" si="285"/>
        <v>4.7120563845209134</v>
      </c>
      <c r="O206" s="69">
        <f t="shared" si="285"/>
        <v>4.7120563845209134</v>
      </c>
      <c r="P206" s="69">
        <f t="shared" si="285"/>
        <v>4.7120563845209134</v>
      </c>
      <c r="Q206" s="69">
        <f t="shared" si="285"/>
        <v>4.7120563845209134</v>
      </c>
      <c r="R206" s="69">
        <f t="shared" si="285"/>
        <v>4.7120563845209134</v>
      </c>
      <c r="S206" s="69">
        <f t="shared" si="285"/>
        <v>4.7120563845209134</v>
      </c>
      <c r="T206" s="69">
        <f t="shared" si="285"/>
        <v>4.7120563845209134</v>
      </c>
      <c r="U206" s="69">
        <f t="shared" si="285"/>
        <v>4.7120563845209134</v>
      </c>
      <c r="V206" s="69">
        <f t="shared" si="285"/>
        <v>4.7120563845209134</v>
      </c>
      <c r="W206" s="69">
        <f t="shared" ref="W206" si="286">W27*(1-W36)*(IF(2027&gt;=W29,1,0)/(1+W45)^1+IF(2028&gt;=W29,1,0)/(1+W45)^2+IF(2029&gt;=W29,1,0)/(1+W45)^3+IF(2030&gt;=W29,1,0)/(1+W45)^4+IF(2031&gt;=W29,1,0)/(1+W45)^5+W71/(1+W45)^5)</f>
        <v>4.7120563845209134</v>
      </c>
    </row>
    <row r="207" spans="1:23" x14ac:dyDescent="0.3">
      <c r="A207" s="9" t="s">
        <v>533</v>
      </c>
      <c r="B207" s="67">
        <f>IF(B27=0,0,B30-B201/B206)</f>
        <v>0</v>
      </c>
      <c r="C207" s="67">
        <f>IF(C27=0,0,C30-C201/C206)</f>
        <v>112.94245177411221</v>
      </c>
      <c r="D207" s="67">
        <f>IF(D27=0,0,D30-D201/D206)</f>
        <v>104.54102756224957</v>
      </c>
      <c r="H207" s="67">
        <f t="shared" ref="H207:V207" si="287">IF(H27=0,0,H30-H201/H206)</f>
        <v>112.94245177411221</v>
      </c>
      <c r="I207" s="67">
        <f t="shared" si="287"/>
        <v>0</v>
      </c>
      <c r="J207" s="67">
        <f t="shared" si="287"/>
        <v>104.54102756224955</v>
      </c>
      <c r="K207" s="67">
        <f t="shared" si="287"/>
        <v>112.94245177411221</v>
      </c>
      <c r="L207" s="67">
        <f t="shared" si="287"/>
        <v>112.94245177411221</v>
      </c>
      <c r="M207" s="67">
        <f t="shared" si="287"/>
        <v>118.29662156279205</v>
      </c>
      <c r="N207" s="67">
        <f t="shared" si="287"/>
        <v>112.94245177411221</v>
      </c>
      <c r="O207" s="67">
        <f t="shared" si="287"/>
        <v>112.94245177411221</v>
      </c>
      <c r="P207" s="67">
        <f t="shared" si="287"/>
        <v>112.94245177411221</v>
      </c>
      <c r="Q207" s="67">
        <f t="shared" si="287"/>
        <v>112.94245177411221</v>
      </c>
      <c r="R207" s="67">
        <f t="shared" si="287"/>
        <v>112.94245177411221</v>
      </c>
      <c r="S207" s="67">
        <f t="shared" si="287"/>
        <v>112.94245177411221</v>
      </c>
      <c r="T207" s="67">
        <f t="shared" si="287"/>
        <v>112.94245177411221</v>
      </c>
      <c r="U207" s="67">
        <f t="shared" si="287"/>
        <v>112.94245177411221</v>
      </c>
      <c r="V207" s="67">
        <f t="shared" si="287"/>
        <v>112.94245177411221</v>
      </c>
      <c r="W207" s="67">
        <f t="shared" ref="W207" si="288">IF(W27=0,0,W30-W201/W206)</f>
        <v>112.94245177411221</v>
      </c>
    </row>
    <row r="208" spans="1:23" x14ac:dyDescent="0.3">
      <c r="A208" s="14" t="s">
        <v>534</v>
      </c>
      <c r="B208" s="57">
        <f>IF(B27=0,0,B207/B28)</f>
        <v>0</v>
      </c>
      <c r="C208" s="57">
        <f>IF(C27=0,0,C207/C28)</f>
        <v>0.15200868341064902</v>
      </c>
      <c r="D208" s="57">
        <f>IF(D27=0,0,D207/D28)</f>
        <v>0.1407012484014126</v>
      </c>
      <c r="H208" s="57">
        <f t="shared" ref="H208:V208" si="289">IF(H27=0,0,H207/H28)</f>
        <v>0.15200868341064902</v>
      </c>
      <c r="I208" s="57">
        <f t="shared" si="289"/>
        <v>0</v>
      </c>
      <c r="J208" s="57">
        <f t="shared" si="289"/>
        <v>0.1407012484014126</v>
      </c>
      <c r="K208" s="57">
        <f t="shared" si="289"/>
        <v>0.15200868341064902</v>
      </c>
      <c r="L208" s="57">
        <f t="shared" si="289"/>
        <v>0.15200868341064902</v>
      </c>
      <c r="M208" s="57">
        <f t="shared" si="289"/>
        <v>0.15921483386647653</v>
      </c>
      <c r="N208" s="57">
        <f t="shared" si="289"/>
        <v>0.15200868341064902</v>
      </c>
      <c r="O208" s="57">
        <f t="shared" si="289"/>
        <v>0.15200868341064902</v>
      </c>
      <c r="P208" s="57">
        <f t="shared" si="289"/>
        <v>0.15200868341064902</v>
      </c>
      <c r="Q208" s="57">
        <f t="shared" si="289"/>
        <v>0.15200868341064902</v>
      </c>
      <c r="R208" s="57">
        <f t="shared" si="289"/>
        <v>0.15200868341064902</v>
      </c>
      <c r="S208" s="57">
        <f t="shared" si="289"/>
        <v>0.15200868341064902</v>
      </c>
      <c r="T208" s="57">
        <f t="shared" si="289"/>
        <v>0.15200868341064902</v>
      </c>
      <c r="U208" s="57">
        <f t="shared" si="289"/>
        <v>0.15200868341064902</v>
      </c>
      <c r="V208" s="57">
        <f t="shared" si="289"/>
        <v>0.15200868341064902</v>
      </c>
      <c r="W208" s="57">
        <f t="shared" ref="W208" si="290">IF(W27=0,0,W207/W28)</f>
        <v>0.15200868341064902</v>
      </c>
    </row>
    <row r="209" spans="1:23" x14ac:dyDescent="0.3">
      <c r="A209" s="14" t="s">
        <v>535</v>
      </c>
      <c r="B209" s="27">
        <f>'01_Số liệu gốc'!$C$65</f>
        <v>1398.537</v>
      </c>
      <c r="C209" s="27">
        <f>'01_Số liệu gốc'!$C$65</f>
        <v>1398.537</v>
      </c>
      <c r="D209" s="27">
        <f>'01_Số liệu gốc'!$C$65</f>
        <v>1398.537</v>
      </c>
      <c r="H209" s="27">
        <f>'01_Số liệu gốc'!$C$65</f>
        <v>1398.537</v>
      </c>
      <c r="I209" s="27">
        <f>'01_Số liệu gốc'!$C$65</f>
        <v>1398.537</v>
      </c>
      <c r="J209" s="27">
        <f>'01_Số liệu gốc'!$C$65</f>
        <v>1398.537</v>
      </c>
      <c r="K209" s="27">
        <f>'01_Số liệu gốc'!$C$65</f>
        <v>1398.537</v>
      </c>
      <c r="L209" s="27">
        <f>'01_Số liệu gốc'!$C$65</f>
        <v>1398.537</v>
      </c>
      <c r="M209" s="27">
        <f>'01_Số liệu gốc'!$C$65</f>
        <v>1398.537</v>
      </c>
      <c r="N209" s="27">
        <f>'01_Số liệu gốc'!$C$65</f>
        <v>1398.537</v>
      </c>
      <c r="O209" s="27">
        <f>'01_Số liệu gốc'!$C$65</f>
        <v>1398.537</v>
      </c>
      <c r="P209" s="27">
        <f>'01_Số liệu gốc'!$C$65</f>
        <v>1398.537</v>
      </c>
      <c r="Q209" s="27">
        <f>'01_Số liệu gốc'!$C$65</f>
        <v>1398.537</v>
      </c>
      <c r="R209" s="27">
        <f>'01_Số liệu gốc'!$C$65</f>
        <v>1398.537</v>
      </c>
      <c r="S209" s="27">
        <f>'01_Số liệu gốc'!$C$65</f>
        <v>1398.537</v>
      </c>
      <c r="T209" s="27">
        <f>'01_Số liệu gốc'!$C$65</f>
        <v>1398.537</v>
      </c>
      <c r="U209" s="27">
        <f>'01_Số liệu gốc'!$C$65</f>
        <v>1398.537</v>
      </c>
      <c r="V209" s="27">
        <f>'01_Số liệu gốc'!$C$65</f>
        <v>1398.537</v>
      </c>
      <c r="W209" s="27">
        <f>'01_Số liệu gốc'!$C$65</f>
        <v>1398.537</v>
      </c>
    </row>
    <row r="210" spans="1:23" x14ac:dyDescent="0.3">
      <c r="A210" s="14" t="s">
        <v>528</v>
      </c>
      <c r="B210" s="15">
        <f>B209*1000/'01_Số liệu gốc'!$B$8</f>
        <v>12713.972727272727</v>
      </c>
      <c r="C210" s="15">
        <f>C209*1000/'01_Số liệu gốc'!$B$8</f>
        <v>12713.972727272727</v>
      </c>
      <c r="D210" s="15">
        <f>D209*1000/'01_Số liệu gốc'!$B$8</f>
        <v>12713.972727272727</v>
      </c>
      <c r="H210" s="15">
        <f>H209*1000/'01_Số liệu gốc'!$B$8</f>
        <v>12713.972727272727</v>
      </c>
      <c r="I210" s="15">
        <f>I209*1000/'01_Số liệu gốc'!$B$8</f>
        <v>12713.972727272727</v>
      </c>
      <c r="J210" s="15">
        <f>J209*1000/'01_Số liệu gốc'!$B$8</f>
        <v>12713.972727272727</v>
      </c>
      <c r="K210" s="15">
        <f>K209*1000/'01_Số liệu gốc'!$B$8</f>
        <v>12713.972727272727</v>
      </c>
      <c r="L210" s="15">
        <f>L209*1000/'01_Số liệu gốc'!$B$8</f>
        <v>12713.972727272727</v>
      </c>
      <c r="M210" s="15">
        <f>M209*1000/'01_Số liệu gốc'!$B$8</f>
        <v>12713.972727272727</v>
      </c>
      <c r="N210" s="15">
        <f>N209*1000/'01_Số liệu gốc'!$B$8</f>
        <v>12713.972727272727</v>
      </c>
      <c r="O210" s="15">
        <f>O209*1000/'01_Số liệu gốc'!$B$8</f>
        <v>12713.972727272727</v>
      </c>
      <c r="P210" s="15">
        <f>P209*1000/'01_Số liệu gốc'!$B$8</f>
        <v>12713.972727272727</v>
      </c>
      <c r="Q210" s="15">
        <f>Q209*1000/'01_Số liệu gốc'!$B$8</f>
        <v>12713.972727272727</v>
      </c>
      <c r="R210" s="15">
        <f>R209*1000/'01_Số liệu gốc'!$B$8</f>
        <v>12713.972727272727</v>
      </c>
      <c r="S210" s="15">
        <f>S209*1000/'01_Số liệu gốc'!$B$8</f>
        <v>12713.972727272727</v>
      </c>
      <c r="T210" s="15">
        <f>T209*1000/'01_Số liệu gốc'!$B$8</f>
        <v>12713.972727272727</v>
      </c>
      <c r="U210" s="15">
        <f>U209*1000/'01_Số liệu gốc'!$B$8</f>
        <v>12713.972727272727</v>
      </c>
      <c r="V210" s="15">
        <f>V209*1000/'01_Số liệu gốc'!$B$8</f>
        <v>12713.972727272727</v>
      </c>
      <c r="W210" s="15">
        <f>W209*1000/'01_Số liệu gốc'!$B$8</f>
        <v>12713.972727272727</v>
      </c>
    </row>
    <row r="212" spans="1:23" x14ac:dyDescent="0.3">
      <c r="A212" s="51" t="s">
        <v>536</v>
      </c>
      <c r="B212" s="52"/>
      <c r="C212" s="52"/>
      <c r="D212" s="52"/>
      <c r="E212" s="52"/>
      <c r="F212" s="52"/>
      <c r="G212" s="52"/>
      <c r="H212" s="52"/>
      <c r="I212" s="52"/>
      <c r="J212" s="52"/>
      <c r="K212" s="52"/>
      <c r="L212" s="52"/>
      <c r="M212" s="52"/>
      <c r="N212" s="52"/>
      <c r="O212" s="52"/>
      <c r="P212" s="52"/>
      <c r="Q212" s="52"/>
      <c r="R212" s="52"/>
      <c r="S212" s="52"/>
      <c r="T212" s="52"/>
      <c r="U212" s="52"/>
      <c r="V212" s="52"/>
      <c r="W212" s="52"/>
    </row>
    <row r="213" spans="1:23" x14ac:dyDescent="0.3">
      <c r="A213" s="14" t="s">
        <v>537</v>
      </c>
      <c r="B213" s="43">
        <f>B53*B12</f>
        <v>1266.6427880148506</v>
      </c>
      <c r="C213" s="43">
        <f>C53*C12</f>
        <v>1899.8159562201802</v>
      </c>
      <c r="D213" s="43">
        <f>D53*D12</f>
        <v>2540.9898969504047</v>
      </c>
      <c r="H213" s="43">
        <f t="shared" ref="H213:V213" si="291">H53*H12</f>
        <v>1899.8159562201802</v>
      </c>
      <c r="I213" s="43">
        <f t="shared" si="291"/>
        <v>1899.8159562201802</v>
      </c>
      <c r="J213" s="43">
        <f t="shared" si="291"/>
        <v>1899.8159562201802</v>
      </c>
      <c r="K213" s="43">
        <f t="shared" si="291"/>
        <v>1899.8159562201802</v>
      </c>
      <c r="L213" s="43">
        <f t="shared" si="291"/>
        <v>1899.8159562201802</v>
      </c>
      <c r="M213" s="43">
        <f t="shared" si="291"/>
        <v>1899.8159562201802</v>
      </c>
      <c r="N213" s="43">
        <f t="shared" si="291"/>
        <v>1899.8159562201802</v>
      </c>
      <c r="O213" s="43">
        <f t="shared" si="291"/>
        <v>1899.8159562201802</v>
      </c>
      <c r="P213" s="43">
        <f t="shared" si="291"/>
        <v>1705.7639707487751</v>
      </c>
      <c r="Q213" s="43">
        <f t="shared" si="291"/>
        <v>2078.0464978486939</v>
      </c>
      <c r="R213" s="43">
        <f t="shared" si="291"/>
        <v>1820.3957531938456</v>
      </c>
      <c r="S213" s="43">
        <f t="shared" si="291"/>
        <v>1759.0888483520187</v>
      </c>
      <c r="T213" s="43">
        <f t="shared" si="291"/>
        <v>2443.3744103609538</v>
      </c>
      <c r="U213" s="43">
        <f t="shared" si="291"/>
        <v>2037.2950329514904</v>
      </c>
      <c r="V213" s="43">
        <f t="shared" si="291"/>
        <v>1899.8159562201802</v>
      </c>
      <c r="W213" s="43">
        <f t="shared" ref="W213" si="292">W53*W12</f>
        <v>1916.983179712611</v>
      </c>
    </row>
    <row r="214" spans="1:23" x14ac:dyDescent="0.3">
      <c r="A214" s="9" t="s">
        <v>821</v>
      </c>
      <c r="B214" s="67">
        <f>B213+B209*(1-'02_Giả định'!$B$26)+B202</f>
        <v>1999.7463941933424</v>
      </c>
      <c r="C214" s="67">
        <f>C213+C209*(1-'02_Giả định'!$B$26)+C202</f>
        <v>2790.7533033927875</v>
      </c>
      <c r="D214" s="67">
        <f>D213+D209*(1-'02_Giả định'!$B$26)+D202</f>
        <v>4084.5585203758724</v>
      </c>
      <c r="H214" s="67">
        <f>H213+H209*(1-'02_Giả định'!$B$26)+H202</f>
        <v>2790.7533033927875</v>
      </c>
      <c r="I214" s="67">
        <f>I213+I209*(1-'02_Giả định'!$B$26)+I202</f>
        <v>3110.9019670549974</v>
      </c>
      <c r="J214" s="67">
        <f>J213+J209*(1-'02_Giả định'!$B$26)+J202</f>
        <v>2750.2245060661098</v>
      </c>
      <c r="K214" s="67">
        <f>K213+K209*(1-'02_Giả định'!$B$26)+K202</f>
        <v>2587.3290204810237</v>
      </c>
      <c r="L214" s="67">
        <f>L213+L209*(1-'02_Giả định'!$B$26)+L202</f>
        <v>2661.5950285281756</v>
      </c>
      <c r="M214" s="67">
        <f>M213+M209*(1-'02_Giả định'!$B$26)+M202</f>
        <v>2762.5746114587373</v>
      </c>
      <c r="N214" s="67">
        <f>N213+N209*(1-'02_Giả định'!$B$26)+N202</f>
        <v>2790.7533033927875</v>
      </c>
      <c r="O214" s="67">
        <f>O213+O209*(1-'02_Giả định'!$B$26)+O202</f>
        <v>2790.7533033927875</v>
      </c>
      <c r="P214" s="67">
        <f>P213+P209*(1-'02_Giả định'!$B$26)+P202</f>
        <v>2596.7013179213823</v>
      </c>
      <c r="Q214" s="67">
        <f>Q213+Q209*(1-'02_Giả định'!$B$26)+Q202</f>
        <v>2968.983845021301</v>
      </c>
      <c r="R214" s="67">
        <f>R213+R209*(1-'02_Giả định'!$B$26)+R202</f>
        <v>2711.3331003664525</v>
      </c>
      <c r="S214" s="67">
        <f>S213+S209*(1-'02_Giả định'!$B$26)+S202</f>
        <v>2650.026195524626</v>
      </c>
      <c r="T214" s="67">
        <f>T213+T209*(1-'02_Giả định'!$B$26)+T202</f>
        <v>3334.3117575335609</v>
      </c>
      <c r="U214" s="67">
        <f>U213+U209*(1-'02_Giả định'!$B$26)+U202</f>
        <v>2928.2323801240973</v>
      </c>
      <c r="V214" s="67">
        <f>V213+V209*(1-'02_Giả định'!$B$26)+V202</f>
        <v>2790.7533033927875</v>
      </c>
      <c r="W214" s="67">
        <f>W213+W209*(1-'02_Giả định'!$B$26)+W202</f>
        <v>2807.9205268852184</v>
      </c>
    </row>
    <row r="215" spans="1:23" x14ac:dyDescent="0.3">
      <c r="A215" s="9" t="s">
        <v>538</v>
      </c>
      <c r="B215" s="18">
        <f>MAX(0,B214*1000/'01_Số liệu gốc'!$B$8)</f>
        <v>18179.512674484929</v>
      </c>
      <c r="C215" s="18">
        <f>MAX(0,C214*1000/'01_Số liệu gốc'!$B$8)</f>
        <v>25370.484576298069</v>
      </c>
      <c r="D215" s="18">
        <f>MAX(0,D214*1000/'01_Số liệu gốc'!$B$8)</f>
        <v>37132.350185235206</v>
      </c>
      <c r="H215" s="18">
        <f>MAX(0,H214*1000/'01_Số liệu gốc'!$B$8)</f>
        <v>25370.484576298069</v>
      </c>
      <c r="I215" s="18">
        <f>MAX(0,I214*1000/'01_Số liệu gốc'!$B$8)</f>
        <v>28280.926973227251</v>
      </c>
      <c r="J215" s="18">
        <f>MAX(0,J214*1000/'01_Số liệu gốc'!$B$8)</f>
        <v>25002.040964237363</v>
      </c>
      <c r="K215" s="18">
        <f>MAX(0,K214*1000/'01_Số liệu gốc'!$B$8)</f>
        <v>23521.172913463848</v>
      </c>
      <c r="L215" s="18">
        <f>MAX(0,L214*1000/'01_Số liệu gốc'!$B$8)</f>
        <v>24196.318441165233</v>
      </c>
      <c r="M215" s="18">
        <f>MAX(0,M214*1000/'01_Số liệu gốc'!$B$8)</f>
        <v>25114.314649624885</v>
      </c>
      <c r="N215" s="18">
        <f>MAX(0,N214*1000/'01_Số liệu gốc'!$B$8)</f>
        <v>25370.484576298069</v>
      </c>
      <c r="O215" s="18">
        <f>MAX(0,O214*1000/'01_Số liệu gốc'!$B$8)</f>
        <v>25370.484576298069</v>
      </c>
      <c r="P215" s="18">
        <f>MAX(0,P214*1000/'01_Số liệu gốc'!$B$8)</f>
        <v>23606.375617467111</v>
      </c>
      <c r="Q215" s="18">
        <f>MAX(0,Q214*1000/'01_Số liệu gốc'!$B$8)</f>
        <v>26990.762227466374</v>
      </c>
      <c r="R215" s="18">
        <f>MAX(0,R214*1000/'01_Số liệu gốc'!$B$8)</f>
        <v>24648.482730604115</v>
      </c>
      <c r="S215" s="18">
        <f>MAX(0,S214*1000/'01_Số liệu gốc'!$B$8)</f>
        <v>24091.147232042054</v>
      </c>
      <c r="T215" s="18">
        <f>MAX(0,T214*1000/'01_Số liệu gốc'!$B$8)</f>
        <v>30311.925068486918</v>
      </c>
      <c r="U215" s="18">
        <f>MAX(0,U214*1000/'01_Số liệu gốc'!$B$8)</f>
        <v>26620.294364764519</v>
      </c>
      <c r="V215" s="18">
        <f>MAX(0,V214*1000/'01_Số liệu gốc'!$B$8)</f>
        <v>25370.484576298069</v>
      </c>
      <c r="W215" s="18">
        <f>MAX(0,W214*1000/'01_Số liệu gốc'!$B$8)</f>
        <v>25526.550244411075</v>
      </c>
    </row>
    <row r="217" spans="1:23" x14ac:dyDescent="0.3">
      <c r="A217" s="51" t="s">
        <v>539</v>
      </c>
      <c r="B217" s="52"/>
      <c r="C217" s="52"/>
      <c r="D217" s="52"/>
      <c r="E217" s="52"/>
      <c r="F217" s="52"/>
      <c r="G217" s="52"/>
      <c r="H217" s="52"/>
      <c r="I217" s="52"/>
      <c r="J217" s="52"/>
      <c r="K217" s="52"/>
      <c r="L217" s="52"/>
      <c r="M217" s="52"/>
      <c r="N217" s="52"/>
      <c r="O217" s="52"/>
      <c r="P217" s="52"/>
      <c r="Q217" s="52"/>
      <c r="R217" s="52"/>
      <c r="S217" s="52"/>
      <c r="T217" s="52"/>
      <c r="U217" s="52"/>
      <c r="V217" s="52"/>
      <c r="W217" s="52"/>
    </row>
    <row r="218" spans="1:23" x14ac:dyDescent="0.3">
      <c r="A218" s="14" t="s">
        <v>540</v>
      </c>
      <c r="B218" s="43">
        <f>B55*B13</f>
        <v>1434.3591939633343</v>
      </c>
      <c r="C218" s="43">
        <f>C55*C13</f>
        <v>1885.5735569137146</v>
      </c>
      <c r="D218" s="43">
        <f>D55*D13</f>
        <v>2343.3879198640934</v>
      </c>
      <c r="H218" s="43">
        <f t="shared" ref="H218:V218" si="293">H55*H13</f>
        <v>1885.5735569137146</v>
      </c>
      <c r="I218" s="43">
        <f t="shared" si="293"/>
        <v>1885.5735569137146</v>
      </c>
      <c r="J218" s="43">
        <f t="shared" si="293"/>
        <v>1885.5735569137146</v>
      </c>
      <c r="K218" s="43">
        <f t="shared" si="293"/>
        <v>1885.5735569137146</v>
      </c>
      <c r="L218" s="43">
        <f t="shared" si="293"/>
        <v>1885.5735569137146</v>
      </c>
      <c r="M218" s="43">
        <f t="shared" si="293"/>
        <v>1885.5735569137146</v>
      </c>
      <c r="N218" s="43">
        <f t="shared" si="293"/>
        <v>1885.5735569137146</v>
      </c>
      <c r="O218" s="43">
        <f t="shared" si="293"/>
        <v>1885.5735569137146</v>
      </c>
      <c r="P218" s="43">
        <f t="shared" si="293"/>
        <v>1740.7782889591997</v>
      </c>
      <c r="Q218" s="43">
        <f t="shared" si="293"/>
        <v>2018.5633790486793</v>
      </c>
      <c r="R218" s="43">
        <f t="shared" si="293"/>
        <v>1826.312789494797</v>
      </c>
      <c r="S218" s="43">
        <f t="shared" si="293"/>
        <v>1885.5735569137146</v>
      </c>
      <c r="T218" s="43">
        <f t="shared" si="293"/>
        <v>1885.5735569137146</v>
      </c>
      <c r="U218" s="43">
        <f t="shared" si="293"/>
        <v>1988.1559639171342</v>
      </c>
      <c r="V218" s="43">
        <f t="shared" si="293"/>
        <v>1885.5735569137146</v>
      </c>
      <c r="W218" s="43">
        <f t="shared" ref="W218" si="294">W55*W13</f>
        <v>1898.383179652606</v>
      </c>
    </row>
    <row r="219" spans="1:23" x14ac:dyDescent="0.3">
      <c r="A219" s="9" t="s">
        <v>822</v>
      </c>
      <c r="B219" s="67">
        <f>B218+B209*(1-'02_Giả định'!$B$26)+B202</f>
        <v>2167.4628001418259</v>
      </c>
      <c r="C219" s="67">
        <f>C218+C209*(1-'02_Giả định'!$B$26)+C202</f>
        <v>2776.5109040863217</v>
      </c>
      <c r="D219" s="67">
        <f>D218+D209*(1-'02_Giả định'!$B$26)+D202</f>
        <v>3886.9565432895611</v>
      </c>
      <c r="H219" s="67">
        <f>H218+H209*(1-'02_Giả định'!$B$26)+H202</f>
        <v>2776.5109040863217</v>
      </c>
      <c r="I219" s="67">
        <f>I218+I209*(1-'02_Giả định'!$B$26)+I202</f>
        <v>3096.6595677485316</v>
      </c>
      <c r="J219" s="67">
        <f>J218+J209*(1-'02_Giả định'!$B$26)+J202</f>
        <v>2735.982106759644</v>
      </c>
      <c r="K219" s="67">
        <f>K218+K209*(1-'02_Giả định'!$B$26)+K202</f>
        <v>2573.0866211745579</v>
      </c>
      <c r="L219" s="67">
        <f>L218+L209*(1-'02_Giả định'!$B$26)+L202</f>
        <v>2647.3526292217098</v>
      </c>
      <c r="M219" s="67">
        <f>M218+M209*(1-'02_Giả định'!$B$26)+M202</f>
        <v>2748.3322121522715</v>
      </c>
      <c r="N219" s="67">
        <f>N218+N209*(1-'02_Giả định'!$B$26)+N202</f>
        <v>2776.5109040863217</v>
      </c>
      <c r="O219" s="67">
        <f>O218+O209*(1-'02_Giả định'!$B$26)+O202</f>
        <v>2776.5109040863217</v>
      </c>
      <c r="P219" s="67">
        <f>P218+P209*(1-'02_Giả định'!$B$26)+P202</f>
        <v>2631.7156361318066</v>
      </c>
      <c r="Q219" s="67">
        <f>Q218+Q209*(1-'02_Giả định'!$B$26)+Q202</f>
        <v>2909.5007262212866</v>
      </c>
      <c r="R219" s="67">
        <f>R218+R209*(1-'02_Giả định'!$B$26)+R202</f>
        <v>2717.2501366674041</v>
      </c>
      <c r="S219" s="67">
        <f>S218+S209*(1-'02_Giả định'!$B$26)+S202</f>
        <v>2776.5109040863217</v>
      </c>
      <c r="T219" s="67">
        <f>T218+T209*(1-'02_Giả định'!$B$26)+T202</f>
        <v>2776.5109040863217</v>
      </c>
      <c r="U219" s="67">
        <f>U218+U209*(1-'02_Giả định'!$B$26)+U202</f>
        <v>2879.0933110897413</v>
      </c>
      <c r="V219" s="67">
        <f>V218+V209*(1-'02_Giả định'!$B$26)+V202</f>
        <v>2776.5109040863217</v>
      </c>
      <c r="W219" s="67">
        <f>W218+W209*(1-'02_Giả định'!$B$26)+W202</f>
        <v>2789.3205268252132</v>
      </c>
    </row>
    <row r="220" spans="1:23" x14ac:dyDescent="0.3">
      <c r="A220" s="9" t="s">
        <v>541</v>
      </c>
      <c r="B220" s="18">
        <f>MAX(0,B219*1000/'01_Số liệu gốc'!$B$8)</f>
        <v>19704.207274016597</v>
      </c>
      <c r="C220" s="18">
        <f>MAX(0,C219*1000/'01_Số liệu gốc'!$B$8)</f>
        <v>25241.008218966559</v>
      </c>
      <c r="D220" s="18">
        <f>MAX(0,D219*1000/'01_Số liệu gốc'!$B$8)</f>
        <v>35335.96857535965</v>
      </c>
      <c r="H220" s="18">
        <f>MAX(0,H219*1000/'01_Số liệu gốc'!$B$8)</f>
        <v>25241.008218966559</v>
      </c>
      <c r="I220" s="18">
        <f>MAX(0,I219*1000/'01_Số liệu gốc'!$B$8)</f>
        <v>28151.450615895741</v>
      </c>
      <c r="J220" s="18">
        <f>MAX(0,J219*1000/'01_Số liệu gốc'!$B$8)</f>
        <v>24872.564606905857</v>
      </c>
      <c r="K220" s="18">
        <f>MAX(0,K219*1000/'01_Số liệu gốc'!$B$8)</f>
        <v>23391.696556132345</v>
      </c>
      <c r="L220" s="18">
        <f>MAX(0,L219*1000/'01_Số liệu gốc'!$B$8)</f>
        <v>24066.842083833726</v>
      </c>
      <c r="M220" s="18">
        <f>MAX(0,M219*1000/'01_Số liệu gốc'!$B$8)</f>
        <v>24984.838292293378</v>
      </c>
      <c r="N220" s="18">
        <f>MAX(0,N219*1000/'01_Số liệu gốc'!$B$8)</f>
        <v>25241.008218966559</v>
      </c>
      <c r="O220" s="18">
        <f>MAX(0,O219*1000/'01_Số liệu gốc'!$B$8)</f>
        <v>25241.008218966559</v>
      </c>
      <c r="P220" s="18">
        <f>MAX(0,P219*1000/'01_Số liệu gốc'!$B$8)</f>
        <v>23924.687601198242</v>
      </c>
      <c r="Q220" s="18">
        <f>MAX(0,Q219*1000/'01_Số liệu gốc'!$B$8)</f>
        <v>26450.006602011697</v>
      </c>
      <c r="R220" s="18">
        <f>MAX(0,R219*1000/'01_Số liệu gốc'!$B$8)</f>
        <v>24702.273969703674</v>
      </c>
      <c r="S220" s="18">
        <f>MAX(0,S219*1000/'01_Số liệu gốc'!$B$8)</f>
        <v>25241.008218966559</v>
      </c>
      <c r="T220" s="18">
        <f>MAX(0,T219*1000/'01_Số liệu gốc'!$B$8)</f>
        <v>25241.008218966559</v>
      </c>
      <c r="U220" s="18">
        <f>MAX(0,U219*1000/'01_Số liệu gốc'!$B$8)</f>
        <v>26173.575555361283</v>
      </c>
      <c r="V220" s="18">
        <f>MAX(0,V219*1000/'01_Số liệu gốc'!$B$8)</f>
        <v>25241.008218966559</v>
      </c>
      <c r="W220" s="18">
        <f>MAX(0,W219*1000/'01_Số liệu gốc'!$B$8)</f>
        <v>25357.459334774667</v>
      </c>
    </row>
    <row r="222" spans="1:23" x14ac:dyDescent="0.3">
      <c r="A222" s="51" t="s">
        <v>542</v>
      </c>
      <c r="B222" s="52"/>
      <c r="C222" s="52"/>
      <c r="D222" s="52"/>
      <c r="E222" s="52"/>
      <c r="F222" s="52"/>
      <c r="G222" s="52"/>
      <c r="H222" s="52"/>
      <c r="I222" s="52"/>
      <c r="J222" s="52"/>
      <c r="K222" s="52"/>
      <c r="L222" s="52"/>
      <c r="M222" s="52"/>
      <c r="N222" s="52"/>
      <c r="O222" s="52"/>
      <c r="P222" s="52"/>
      <c r="Q222" s="52"/>
      <c r="R222" s="52"/>
      <c r="S222" s="52"/>
      <c r="T222" s="52"/>
      <c r="U222" s="52"/>
      <c r="V222" s="52"/>
      <c r="W222" s="52"/>
    </row>
    <row r="223" spans="1:23" x14ac:dyDescent="0.3">
      <c r="A223" s="14" t="s">
        <v>78</v>
      </c>
      <c r="B223" s="72">
        <f>(B14*(1-B36)-B35)/(B44-B35)</f>
        <v>0.674854085603113</v>
      </c>
      <c r="C223" s="72">
        <f>(C14*(1-C36)-C35)/(C44-C35)</f>
        <v>0.8937256809338523</v>
      </c>
      <c r="D223" s="72">
        <f>(D14*(1-D36)-D35)/(D44-D35)</f>
        <v>1.1673151750972768</v>
      </c>
      <c r="H223" s="72">
        <f t="shared" ref="H223:V223" si="295">(H14*(1-H36)-H35)/(H44-H35)</f>
        <v>0.8937256809338523</v>
      </c>
      <c r="I223" s="72">
        <f t="shared" si="295"/>
        <v>0.8937256809338523</v>
      </c>
      <c r="J223" s="72">
        <f t="shared" si="295"/>
        <v>0.8937256809338523</v>
      </c>
      <c r="K223" s="72">
        <f t="shared" si="295"/>
        <v>0.8937256809338523</v>
      </c>
      <c r="L223" s="72">
        <f t="shared" si="295"/>
        <v>0.8937256809338523</v>
      </c>
      <c r="M223" s="72">
        <f t="shared" si="295"/>
        <v>0.83522727272727293</v>
      </c>
      <c r="N223" s="72">
        <f t="shared" si="295"/>
        <v>0.78025477707006385</v>
      </c>
      <c r="O223" s="72">
        <f t="shared" si="295"/>
        <v>0.8937256809338523</v>
      </c>
      <c r="P223" s="72">
        <f t="shared" si="295"/>
        <v>0.8937256809338523</v>
      </c>
      <c r="Q223" s="72">
        <f t="shared" si="295"/>
        <v>0.8937256809338523</v>
      </c>
      <c r="R223" s="72">
        <f t="shared" si="295"/>
        <v>0.8937256809338523</v>
      </c>
      <c r="S223" s="72">
        <f t="shared" si="295"/>
        <v>0.8937256809338523</v>
      </c>
      <c r="T223" s="72">
        <f t="shared" si="295"/>
        <v>0.8937256809338523</v>
      </c>
      <c r="U223" s="72">
        <f t="shared" si="295"/>
        <v>0.8937256809338523</v>
      </c>
      <c r="V223" s="72">
        <f t="shared" si="295"/>
        <v>0.96965699208443279</v>
      </c>
      <c r="W223" s="72">
        <f t="shared" ref="W223" si="296">(W14*(1-W36)-W35)/(W44-W35)</f>
        <v>0.8937256809338523</v>
      </c>
    </row>
    <row r="224" spans="1:23" x14ac:dyDescent="0.3">
      <c r="A224" s="9" t="s">
        <v>543</v>
      </c>
      <c r="B224" s="18">
        <f>MAX(0,B223*'01_Số liệu gốc'!$C$73)</f>
        <v>14239.967224531309</v>
      </c>
      <c r="C224" s="18">
        <f>MAX(0,C223*'01_Số liệu gốc'!$C$73)</f>
        <v>18858.334973027948</v>
      </c>
      <c r="D224" s="18">
        <f>MAX(0,D223*'01_Số liệu gốc'!$C$73)</f>
        <v>24631.294658648752</v>
      </c>
      <c r="F224" s="38" t="s">
        <v>544</v>
      </c>
      <c r="H224" s="18">
        <f>MAX(0,H223*'01_Số liệu gốc'!$C$73)</f>
        <v>18858.334973027948</v>
      </c>
      <c r="I224" s="18">
        <f>MAX(0,I223*'01_Số liệu gốc'!$C$73)</f>
        <v>18858.334973027948</v>
      </c>
      <c r="J224" s="18">
        <f>MAX(0,J223*'01_Số liệu gốc'!$C$73)</f>
        <v>18858.334973027948</v>
      </c>
      <c r="K224" s="18">
        <f>MAX(0,K223*'01_Số liệu gốc'!$C$73)</f>
        <v>18858.334973027948</v>
      </c>
      <c r="L224" s="18">
        <f>MAX(0,L223*'01_Số liệu gốc'!$C$73)</f>
        <v>18858.334973027948</v>
      </c>
      <c r="M224" s="18">
        <f>MAX(0,M223*'01_Số liệu gốc'!$C$73)</f>
        <v>17623.971229338847</v>
      </c>
      <c r="N224" s="18">
        <f>MAX(0,N223*'01_Số liệu gốc'!$C$73)</f>
        <v>16464.007093225249</v>
      </c>
      <c r="O224" s="18">
        <f>MAX(0,O223*'01_Số liệu gốc'!$C$73)</f>
        <v>18858.334973027948</v>
      </c>
      <c r="P224" s="18">
        <f>MAX(0,P223*'01_Số liệu gốc'!$C$73)</f>
        <v>18858.334973027948</v>
      </c>
      <c r="Q224" s="18">
        <f>MAX(0,Q223*'01_Số liệu gốc'!$C$73)</f>
        <v>18858.334973027948</v>
      </c>
      <c r="R224" s="18">
        <f>MAX(0,R223*'01_Số liệu gốc'!$C$73)</f>
        <v>18858.334973027948</v>
      </c>
      <c r="S224" s="18">
        <f>MAX(0,S223*'01_Số liệu gốc'!$C$73)</f>
        <v>18858.334973027948</v>
      </c>
      <c r="T224" s="18">
        <f>MAX(0,T223*'01_Số liệu gốc'!$C$73)</f>
        <v>18858.334973027948</v>
      </c>
      <c r="U224" s="18">
        <f>MAX(0,U223*'01_Số liệu gốc'!$C$73)</f>
        <v>18858.334973027948</v>
      </c>
      <c r="V224" s="18">
        <f>MAX(0,V223*'01_Số liệu gốc'!$C$73)</f>
        <v>20460.547073638762</v>
      </c>
      <c r="W224" s="18">
        <f>MAX(0,W223*'01_Số liệu gốc'!$C$73)</f>
        <v>18858.334973027948</v>
      </c>
    </row>
    <row r="226" spans="1:23" x14ac:dyDescent="0.3">
      <c r="A226" s="51" t="s">
        <v>545</v>
      </c>
      <c r="B226" s="52"/>
      <c r="C226" s="52"/>
      <c r="D226" s="52"/>
      <c r="E226" s="52"/>
      <c r="F226" s="52"/>
      <c r="G226" s="52"/>
      <c r="H226" s="52"/>
      <c r="I226" s="52"/>
      <c r="J226" s="52"/>
      <c r="K226" s="52"/>
      <c r="L226" s="52"/>
      <c r="M226" s="52"/>
      <c r="N226" s="52"/>
      <c r="O226" s="52"/>
      <c r="P226" s="52"/>
      <c r="Q226" s="52"/>
      <c r="R226" s="52"/>
      <c r="S226" s="52"/>
      <c r="T226" s="52"/>
      <c r="U226" s="52"/>
      <c r="V226" s="52"/>
      <c r="W226" s="52"/>
    </row>
    <row r="227" spans="1:23" x14ac:dyDescent="0.3">
      <c r="A227" s="14" t="s">
        <v>546</v>
      </c>
      <c r="B227" s="43">
        <f>B173*(1+B35)</f>
        <v>129.73533223653021</v>
      </c>
      <c r="C227" s="43">
        <f>C173*(1+C35)</f>
        <v>219.05619972218341</v>
      </c>
      <c r="D227" s="43">
        <f>D173*(1+D35)</f>
        <v>318.3619207944941</v>
      </c>
      <c r="H227" s="43">
        <f t="shared" ref="H227:V227" si="297">H173*(1+H35)</f>
        <v>219.05619972218341</v>
      </c>
      <c r="I227" s="43">
        <f t="shared" si="297"/>
        <v>219.05619972218341</v>
      </c>
      <c r="J227" s="43">
        <f t="shared" si="297"/>
        <v>219.05619972218341</v>
      </c>
      <c r="K227" s="43">
        <f t="shared" si="297"/>
        <v>219.05619972218341</v>
      </c>
      <c r="L227" s="43">
        <f t="shared" si="297"/>
        <v>219.05619972218341</v>
      </c>
      <c r="M227" s="43">
        <f t="shared" si="297"/>
        <v>219.05619972218341</v>
      </c>
      <c r="N227" s="43">
        <f t="shared" si="297"/>
        <v>219.05619972218341</v>
      </c>
      <c r="O227" s="43">
        <f t="shared" si="297"/>
        <v>219.05619972218341</v>
      </c>
      <c r="P227" s="43">
        <f t="shared" si="297"/>
        <v>195.9122248432287</v>
      </c>
      <c r="Q227" s="43">
        <f t="shared" si="297"/>
        <v>240.31320035576206</v>
      </c>
      <c r="R227" s="43">
        <f t="shared" si="297"/>
        <v>209.58399989254642</v>
      </c>
      <c r="S227" s="43">
        <f t="shared" si="297"/>
        <v>219.05619972218341</v>
      </c>
      <c r="T227" s="43">
        <f t="shared" si="297"/>
        <v>219.05619972218341</v>
      </c>
      <c r="U227" s="43">
        <f t="shared" si="297"/>
        <v>235.45290027910806</v>
      </c>
      <c r="V227" s="43">
        <f t="shared" si="297"/>
        <v>219.05619972218341</v>
      </c>
      <c r="W227" s="43">
        <f t="shared" ref="W227" si="298">W173*(1+W35)</f>
        <v>224.86814195124069</v>
      </c>
    </row>
    <row r="228" spans="1:23" x14ac:dyDescent="0.3">
      <c r="A228" s="14" t="s">
        <v>547</v>
      </c>
      <c r="B228" s="43">
        <f>B56*(1+B11)^5</f>
        <v>463.2349999999999</v>
      </c>
      <c r="C228" s="43">
        <f>C56*(1+C11)^5</f>
        <v>537.01632580836031</v>
      </c>
      <c r="D228" s="43">
        <f>D56*(1+D11)^5</f>
        <v>591.21828960468747</v>
      </c>
      <c r="H228" s="43">
        <f t="shared" ref="H228:V228" si="299">H56*(1+H11)^5</f>
        <v>537.01632580836031</v>
      </c>
      <c r="I228" s="43">
        <f t="shared" si="299"/>
        <v>537.01632580836031</v>
      </c>
      <c r="J228" s="43">
        <f t="shared" si="299"/>
        <v>537.01632580836031</v>
      </c>
      <c r="K228" s="43">
        <f t="shared" si="299"/>
        <v>537.01632580836031</v>
      </c>
      <c r="L228" s="43">
        <f t="shared" si="299"/>
        <v>537.01632580836031</v>
      </c>
      <c r="M228" s="43">
        <f t="shared" si="299"/>
        <v>537.01632580836031</v>
      </c>
      <c r="N228" s="43">
        <f t="shared" si="299"/>
        <v>537.01632580836031</v>
      </c>
      <c r="O228" s="43">
        <f t="shared" si="299"/>
        <v>537.01632580836031</v>
      </c>
      <c r="P228" s="43">
        <f t="shared" si="299"/>
        <v>537.01632580836031</v>
      </c>
      <c r="Q228" s="43">
        <f t="shared" si="299"/>
        <v>537.01632580836031</v>
      </c>
      <c r="R228" s="43">
        <f t="shared" si="299"/>
        <v>537.01632580836031</v>
      </c>
      <c r="S228" s="43">
        <f t="shared" si="299"/>
        <v>537.01632580836031</v>
      </c>
      <c r="T228" s="43">
        <f t="shared" si="299"/>
        <v>537.01632580836031</v>
      </c>
      <c r="U228" s="43">
        <f t="shared" si="299"/>
        <v>537.01632580836031</v>
      </c>
      <c r="V228" s="43">
        <f t="shared" si="299"/>
        <v>537.01632580836031</v>
      </c>
      <c r="W228" s="43">
        <f t="shared" ref="W228" si="300">W56*(1+W11)^5</f>
        <v>537.01632580836031</v>
      </c>
    </row>
    <row r="229" spans="1:23" x14ac:dyDescent="0.3">
      <c r="A229" s="14" t="s">
        <v>548</v>
      </c>
      <c r="B229" s="43">
        <f>(B227*(1-B36)-B35*B228)/(B44-B35)</f>
        <v>1250.7873177635847</v>
      </c>
      <c r="C229" s="43">
        <f>(C227*(1-C36)-C35*C228)/(C44-C35)</f>
        <v>2201.3629617669535</v>
      </c>
      <c r="D229" s="43">
        <f>(D227*(1-D36)-D35*D228)/(D44-D35)</f>
        <v>3268.3509244516549</v>
      </c>
      <c r="H229" s="43">
        <f t="shared" ref="H229:V229" si="301">(H227*(1-H36)-H35*H228)/(H44-H35)</f>
        <v>2201.3629617669535</v>
      </c>
      <c r="I229" s="43">
        <f t="shared" si="301"/>
        <v>2201.3629617669535</v>
      </c>
      <c r="J229" s="43">
        <f t="shared" si="301"/>
        <v>2201.3629617669535</v>
      </c>
      <c r="K229" s="43">
        <f t="shared" si="301"/>
        <v>2201.3629617669535</v>
      </c>
      <c r="L229" s="43">
        <f t="shared" si="301"/>
        <v>2201.3629617669535</v>
      </c>
      <c r="M229" s="43">
        <f t="shared" si="301"/>
        <v>2057.2737497240255</v>
      </c>
      <c r="N229" s="43">
        <f t="shared" si="301"/>
        <v>1921.8693203366693</v>
      </c>
      <c r="O229" s="43">
        <f t="shared" si="301"/>
        <v>2201.3629617669535</v>
      </c>
      <c r="P229" s="43">
        <f t="shared" si="301"/>
        <v>1948.0850265643851</v>
      </c>
      <c r="Q229" s="43">
        <f t="shared" si="301"/>
        <v>2433.9906437978484</v>
      </c>
      <c r="R229" s="43">
        <f t="shared" si="301"/>
        <v>2097.7031873667434</v>
      </c>
      <c r="S229" s="43">
        <f t="shared" si="301"/>
        <v>2201.3629617669535</v>
      </c>
      <c r="T229" s="43">
        <f t="shared" si="301"/>
        <v>2201.3629617669535</v>
      </c>
      <c r="U229" s="43">
        <f t="shared" si="301"/>
        <v>2380.8015622196799</v>
      </c>
      <c r="V229" s="43">
        <f t="shared" si="301"/>
        <v>2388.3916883339607</v>
      </c>
      <c r="W229" s="43">
        <f t="shared" ref="W229" si="302">(W227*(1-W36)-W35*W228)/(W44-W35)</f>
        <v>2264.966415149147</v>
      </c>
    </row>
    <row r="230" spans="1:23" x14ac:dyDescent="0.3">
      <c r="A230" s="9" t="s">
        <v>549</v>
      </c>
      <c r="B230" s="67">
        <f>B80+B104+B128+B152+B176+B229/(1+B44)^5</f>
        <v>1159.5301254633609</v>
      </c>
      <c r="C230" s="67">
        <f>C80+C104+C128+C152+C176+C229/(1+C44)^5</f>
        <v>1910.9501679012892</v>
      </c>
      <c r="D230" s="67">
        <f>D80+D104+D128+D152+D176+D229/(1+D44)^5</f>
        <v>2760.24991352508</v>
      </c>
      <c r="H230" s="67">
        <f t="shared" ref="H230:V230" si="303">H80+H104+H128+H152+H176+H229/(1+H44)^5</f>
        <v>1910.9501679012892</v>
      </c>
      <c r="I230" s="67">
        <f t="shared" si="303"/>
        <v>1910.9501679012892</v>
      </c>
      <c r="J230" s="67">
        <f t="shared" si="303"/>
        <v>1910.9501679012892</v>
      </c>
      <c r="K230" s="67">
        <f t="shared" si="303"/>
        <v>1910.9501679012892</v>
      </c>
      <c r="L230" s="67">
        <f t="shared" si="303"/>
        <v>1910.9501679012892</v>
      </c>
      <c r="M230" s="67">
        <f t="shared" si="303"/>
        <v>1786.539493297284</v>
      </c>
      <c r="N230" s="67">
        <f t="shared" si="303"/>
        <v>1669.6136588339907</v>
      </c>
      <c r="O230" s="67">
        <f t="shared" si="303"/>
        <v>1910.9501679012892</v>
      </c>
      <c r="P230" s="67">
        <f t="shared" si="303"/>
        <v>1692.4703961048708</v>
      </c>
      <c r="Q230" s="67">
        <f t="shared" si="303"/>
        <v>2111.6168499120654</v>
      </c>
      <c r="R230" s="67">
        <f t="shared" si="303"/>
        <v>1821.5323359163872</v>
      </c>
      <c r="S230" s="67">
        <f t="shared" si="303"/>
        <v>1910.9501679012892</v>
      </c>
      <c r="T230" s="67">
        <f t="shared" si="303"/>
        <v>1910.9501679012892</v>
      </c>
      <c r="U230" s="67">
        <f t="shared" si="303"/>
        <v>2065.7354809094113</v>
      </c>
      <c r="V230" s="67">
        <f t="shared" si="303"/>
        <v>2072.4172702181791</v>
      </c>
      <c r="W230" s="67">
        <f t="shared" ref="W230" si="304">W80+W104+W128+W152+W176+W229/(1+W44)^5</f>
        <v>1959.7974957743513</v>
      </c>
    </row>
    <row r="231" spans="1:23" x14ac:dyDescent="0.3">
      <c r="A231" s="14" t="s">
        <v>550</v>
      </c>
      <c r="B231" s="60">
        <f>IF(B230&lt;=0,"–",B229/(1+B44)^5/B230)</f>
        <v>0.63373673773445871</v>
      </c>
      <c r="C231" s="60">
        <f>IF(C230&lt;=0,"–",C229/(1+C44)^5/C230)</f>
        <v>0.67678347236648828</v>
      </c>
      <c r="D231" s="60">
        <f>IF(D230&lt;=0,"–",D229/(1+D44)^5/D230)</f>
        <v>0.69564509467325986</v>
      </c>
      <c r="F231" s="38" t="s">
        <v>882</v>
      </c>
      <c r="H231" s="60">
        <f t="shared" ref="H231:V231" si="305">IF(H230&lt;=0,"–",H229/(1+H44)^5/H230)</f>
        <v>0.67678347236648828</v>
      </c>
      <c r="I231" s="60">
        <f t="shared" si="305"/>
        <v>0.67678347236648828</v>
      </c>
      <c r="J231" s="60">
        <f t="shared" si="305"/>
        <v>0.67678347236648828</v>
      </c>
      <c r="K231" s="60">
        <f t="shared" si="305"/>
        <v>0.67678347236648828</v>
      </c>
      <c r="L231" s="60">
        <f t="shared" si="305"/>
        <v>0.67678347236648828</v>
      </c>
      <c r="M231" s="60">
        <f t="shared" si="305"/>
        <v>0.65928082670229604</v>
      </c>
      <c r="N231" s="60">
        <f t="shared" si="305"/>
        <v>0.64104713011611814</v>
      </c>
      <c r="O231" s="60">
        <f t="shared" si="305"/>
        <v>0.67678347236648828</v>
      </c>
      <c r="P231" s="60">
        <f t="shared" si="305"/>
        <v>0.67622975838148425</v>
      </c>
      <c r="Q231" s="60">
        <f t="shared" si="305"/>
        <v>0.67719109237230457</v>
      </c>
      <c r="R231" s="60">
        <f t="shared" si="305"/>
        <v>0.67657290910908907</v>
      </c>
      <c r="S231" s="60">
        <f t="shared" si="305"/>
        <v>0.67678347236648828</v>
      </c>
      <c r="T231" s="60">
        <f t="shared" si="305"/>
        <v>0.67678347236648828</v>
      </c>
      <c r="U231" s="60">
        <f t="shared" si="305"/>
        <v>0.67710487570286182</v>
      </c>
      <c r="V231" s="60">
        <f t="shared" si="305"/>
        <v>0.69702028991035481</v>
      </c>
      <c r="W231" s="60">
        <f t="shared" ref="W231" si="306">IF(W230&lt;=0,"–",W229/(1+W44)^5/W230)</f>
        <v>0.67898162221865388</v>
      </c>
    </row>
    <row r="232" spans="1:23" x14ac:dyDescent="0.3">
      <c r="A232" s="9" t="s">
        <v>823</v>
      </c>
      <c r="B232" s="67">
        <f>B230+B209*(1-'02_Giả định'!$B$26)+B202</f>
        <v>1892.6337316418526</v>
      </c>
      <c r="C232" s="67">
        <f>C230+C209*(1-'02_Giả định'!$B$26)+C202</f>
        <v>2801.8875150738963</v>
      </c>
      <c r="D232" s="67">
        <f>D230+D209*(1-'02_Giả định'!$B$26)+D202</f>
        <v>4303.8185369505472</v>
      </c>
      <c r="H232" s="67">
        <f>H230+H209*(1-'02_Giả định'!$B$26)+H202</f>
        <v>2801.8875150738963</v>
      </c>
      <c r="I232" s="67">
        <f>I230+I209*(1-'02_Giả định'!$B$26)+I202</f>
        <v>3122.0361787361062</v>
      </c>
      <c r="J232" s="67">
        <f>J230+J209*(1-'02_Giả định'!$B$26)+J202</f>
        <v>2761.3587177472186</v>
      </c>
      <c r="K232" s="67">
        <f>K230+K209*(1-'02_Giả định'!$B$26)+K202</f>
        <v>2598.463232162132</v>
      </c>
      <c r="L232" s="67">
        <f>L230+L209*(1-'02_Giả định'!$B$26)+L202</f>
        <v>2672.7292402092844</v>
      </c>
      <c r="M232" s="67">
        <f>M230+M209*(1-'02_Giả định'!$B$26)+M202</f>
        <v>2649.2981485358409</v>
      </c>
      <c r="N232" s="67">
        <f>N230+N209*(1-'02_Giả định'!$B$26)+N202</f>
        <v>2560.5510060065981</v>
      </c>
      <c r="O232" s="67">
        <f>O230+O209*(1-'02_Giả định'!$B$26)+O202</f>
        <v>2801.8875150738963</v>
      </c>
      <c r="P232" s="67">
        <f>P230+P209*(1-'02_Giả định'!$B$26)+P202</f>
        <v>2583.4077432774779</v>
      </c>
      <c r="Q232" s="67">
        <f>Q230+Q209*(1-'02_Giả định'!$B$26)+Q202</f>
        <v>3002.5541970846725</v>
      </c>
      <c r="R232" s="67">
        <f>R230+R209*(1-'02_Giả định'!$B$26)+R202</f>
        <v>2712.4696830889943</v>
      </c>
      <c r="S232" s="67">
        <f>S230+S209*(1-'02_Giả định'!$B$26)+S202</f>
        <v>2801.8875150738963</v>
      </c>
      <c r="T232" s="67">
        <f>T230+T209*(1-'02_Giả định'!$B$26)+T202</f>
        <v>2801.8875150738963</v>
      </c>
      <c r="U232" s="67">
        <f>U230+U209*(1-'02_Giả định'!$B$26)+U202</f>
        <v>2956.6728280820184</v>
      </c>
      <c r="V232" s="67">
        <f>V230+V209*(1-'02_Giả định'!$B$26)+V202</f>
        <v>2963.3546173907862</v>
      </c>
      <c r="W232" s="67">
        <f>W230+W209*(1-'02_Giả định'!$B$26)+W202</f>
        <v>2850.7348429469585</v>
      </c>
    </row>
    <row r="233" spans="1:23" x14ac:dyDescent="0.3">
      <c r="A233" s="9" t="s">
        <v>551</v>
      </c>
      <c r="B233" s="18">
        <f>MAX(0,B232*1000/'01_Số liệu gốc'!$B$8)</f>
        <v>17205.761196744115</v>
      </c>
      <c r="C233" s="18">
        <f>MAX(0,C232*1000/'01_Số liệu gốc'!$B$8)</f>
        <v>25471.704682489966</v>
      </c>
      <c r="D233" s="18">
        <f>MAX(0,D232*1000/'01_Số liệu gốc'!$B$8)</f>
        <v>39125.623063186795</v>
      </c>
      <c r="H233" s="18">
        <f>MAX(0,H232*1000/'01_Số liệu gốc'!$B$8)</f>
        <v>25471.704682489966</v>
      </c>
      <c r="I233" s="18">
        <f>MAX(0,I232*1000/'01_Số liệu gốc'!$B$8)</f>
        <v>28382.147079419145</v>
      </c>
      <c r="J233" s="18">
        <f>MAX(0,J232*1000/'01_Số liệu gốc'!$B$8)</f>
        <v>25103.26107042926</v>
      </c>
      <c r="K233" s="18">
        <f>MAX(0,K232*1000/'01_Số liệu gốc'!$B$8)</f>
        <v>23622.393019655745</v>
      </c>
      <c r="L233" s="18">
        <f>MAX(0,L232*1000/'01_Số liệu gốc'!$B$8)</f>
        <v>24297.53854735713</v>
      </c>
      <c r="M233" s="18">
        <f>MAX(0,M232*1000/'01_Số liệu gốc'!$B$8)</f>
        <v>24084.528623053102</v>
      </c>
      <c r="N233" s="18">
        <f>MAX(0,N232*1000/'01_Số liệu gốc'!$B$8)</f>
        <v>23277.736418241799</v>
      </c>
      <c r="O233" s="18">
        <f>MAX(0,O232*1000/'01_Số liệu gốc'!$B$8)</f>
        <v>25471.704682489966</v>
      </c>
      <c r="P233" s="18">
        <f>MAX(0,P232*1000/'01_Số liệu gốc'!$B$8)</f>
        <v>23485.524938886163</v>
      </c>
      <c r="Q233" s="18">
        <f>MAX(0,Q232*1000/'01_Số liệu gốc'!$B$8)</f>
        <v>27295.947246224299</v>
      </c>
      <c r="R233" s="18">
        <f>MAX(0,R232*1000/'01_Số liệu gốc'!$B$8)</f>
        <v>24658.815300809038</v>
      </c>
      <c r="S233" s="18">
        <f>MAX(0,S232*1000/'01_Số liệu gốc'!$B$8)</f>
        <v>25471.704682489966</v>
      </c>
      <c r="T233" s="18">
        <f>MAX(0,T232*1000/'01_Số liệu gốc'!$B$8)</f>
        <v>25471.704682489966</v>
      </c>
      <c r="U233" s="18">
        <f>MAX(0,U232*1000/'01_Số liệu gốc'!$B$8)</f>
        <v>26878.843891654713</v>
      </c>
      <c r="V233" s="18">
        <f>MAX(0,V232*1000/'01_Số liệu gốc'!$B$8)</f>
        <v>26939.58743082533</v>
      </c>
      <c r="W233" s="18">
        <f>MAX(0,W232*1000/'01_Số liệu gốc'!$B$8)</f>
        <v>25915.771299517801</v>
      </c>
    </row>
    <row r="235" spans="1:23" x14ac:dyDescent="0.3">
      <c r="A235" s="51" t="s">
        <v>552</v>
      </c>
      <c r="B235" s="52"/>
      <c r="C235" s="52"/>
      <c r="D235" s="52"/>
      <c r="E235" s="52"/>
      <c r="F235" s="52"/>
      <c r="G235" s="52"/>
      <c r="H235" s="52"/>
      <c r="I235" s="52"/>
      <c r="J235" s="52"/>
      <c r="K235" s="52"/>
      <c r="L235" s="52"/>
      <c r="M235" s="52"/>
      <c r="N235" s="52"/>
      <c r="O235" s="52"/>
      <c r="P235" s="52"/>
      <c r="Q235" s="52"/>
      <c r="R235" s="52"/>
      <c r="S235" s="52"/>
      <c r="T235" s="52"/>
      <c r="U235" s="52"/>
      <c r="V235" s="52"/>
      <c r="W235" s="52"/>
    </row>
    <row r="236" spans="1:23" x14ac:dyDescent="0.3">
      <c r="A236" s="14" t="s">
        <v>553</v>
      </c>
      <c r="B236" s="27">
        <f>B39*'01_Số liệu gốc'!$B$8/1000/(1+B44)^(5/12)</f>
        <v>105.23090516675222</v>
      </c>
      <c r="C236" s="27">
        <f>C39*'01_Số liệu gốc'!$B$8/1000/(1+C44)^(5/12)</f>
        <v>105.23090516675222</v>
      </c>
      <c r="D236" s="27">
        <f>D39*'01_Số liệu gốc'!$B$8/1000/(1+D44)^(5/12)</f>
        <v>105.23090516675222</v>
      </c>
      <c r="F236" s="38" t="s">
        <v>883</v>
      </c>
      <c r="H236" s="27">
        <f>H39*'01_Số liệu gốc'!$B$8/1000/(1+H44)^(5/12)</f>
        <v>105.23090516675222</v>
      </c>
      <c r="I236" s="27">
        <f>I39*'01_Số liệu gốc'!$B$8/1000/(1+I44)^(5/12)</f>
        <v>105.23090516675222</v>
      </c>
      <c r="J236" s="27">
        <f>J39*'01_Số liệu gốc'!$B$8/1000/(1+J44)^(5/12)</f>
        <v>105.23090516675222</v>
      </c>
      <c r="K236" s="27">
        <f>K39*'01_Số liệu gốc'!$B$8/1000/(1+K44)^(5/12)</f>
        <v>105.23090516675222</v>
      </c>
      <c r="L236" s="27">
        <f>L39*'01_Số liệu gốc'!$B$8/1000/(1+L44)^(5/12)</f>
        <v>105.23090516675222</v>
      </c>
      <c r="M236" s="27">
        <f>M39*'01_Số liệu gốc'!$B$8/1000/(1+M44)^(5/12)</f>
        <v>105.00466660079677</v>
      </c>
      <c r="N236" s="27">
        <f>N39*'01_Số liệu gốc'!$B$8/1000/(1+N44)^(5/12)</f>
        <v>104.76298392075182</v>
      </c>
      <c r="O236" s="27">
        <f>O39*'01_Số liệu gốc'!$B$8/1000/(1+O44)^(5/12)</f>
        <v>105.23090516675222</v>
      </c>
      <c r="P236" s="27">
        <f>P39*'01_Số liệu gốc'!$B$8/1000/(1+P44)^(5/12)</f>
        <v>105.23090516675222</v>
      </c>
      <c r="Q236" s="27">
        <f>Q39*'01_Số liệu gốc'!$B$8/1000/(1+Q44)^(5/12)</f>
        <v>105.23090516675222</v>
      </c>
      <c r="R236" s="27">
        <f>R39*'01_Số liệu gốc'!$B$8/1000/(1+R44)^(5/12)</f>
        <v>105.23090516675222</v>
      </c>
      <c r="S236" s="27">
        <f>S39*'01_Số liệu gốc'!$B$8/1000/(1+S44)^(5/12)</f>
        <v>105.23090516675222</v>
      </c>
      <c r="T236" s="27">
        <f>T39*'01_Số liệu gốc'!$B$8/1000/(1+T44)^(5/12)</f>
        <v>105.23090516675222</v>
      </c>
      <c r="U236" s="27">
        <f>U39*'01_Số liệu gốc'!$B$8/1000/(1+U44)^(5/12)</f>
        <v>105.23090516675222</v>
      </c>
      <c r="V236" s="27">
        <f>V39*'01_Số liệu gốc'!$B$8/1000/(1+V44)^(5/12)</f>
        <v>105.48582597141554</v>
      </c>
      <c r="W236" s="27">
        <f>W39*'01_Số liệu gốc'!$B$8/1000/(1+W44)^(5/12)</f>
        <v>105.23090516675222</v>
      </c>
    </row>
    <row r="237" spans="1:23" x14ac:dyDescent="0.3">
      <c r="A237" s="14" t="s">
        <v>554</v>
      </c>
      <c r="B237" s="43">
        <f>(B173+B182)*(1+B35)+IF(B191&gt;0,B16,B38)*B191*(1-B37)</f>
        <v>175.35930264154416</v>
      </c>
      <c r="C237" s="43">
        <f>(C173+C182)*(1+C35)+IF(C191&gt;0,C16,C38)*C191*(1-C37)</f>
        <v>365.45960516152752</v>
      </c>
      <c r="D237" s="43">
        <f>(D173+D182)*(1+D35)+IF(D191&gt;0,D16,D38)*D191*(1-D37)</f>
        <v>611.60678789416465</v>
      </c>
      <c r="H237" s="43">
        <f t="shared" ref="H237:V237" si="307">(H173+H182)*(1+H35)+IF(H191&gt;0,H16,H38)*H191*(1-H37)</f>
        <v>365.45960516152752</v>
      </c>
      <c r="I237" s="43">
        <f t="shared" si="307"/>
        <v>359.55540727394776</v>
      </c>
      <c r="J237" s="43">
        <f t="shared" si="307"/>
        <v>367.15327608860287</v>
      </c>
      <c r="K237" s="43">
        <f t="shared" si="307"/>
        <v>325.20144066047823</v>
      </c>
      <c r="L237" s="43">
        <f t="shared" si="307"/>
        <v>339.898865795782</v>
      </c>
      <c r="M237" s="43">
        <f t="shared" si="307"/>
        <v>365.45960516152752</v>
      </c>
      <c r="N237" s="43">
        <f t="shared" si="307"/>
        <v>365.45960516152752</v>
      </c>
      <c r="O237" s="43">
        <f t="shared" si="307"/>
        <v>382.49215353354464</v>
      </c>
      <c r="P237" s="43">
        <f t="shared" si="307"/>
        <v>336.4244369514837</v>
      </c>
      <c r="Q237" s="43">
        <f t="shared" si="307"/>
        <v>392.12747843156808</v>
      </c>
      <c r="R237" s="43">
        <f t="shared" si="307"/>
        <v>353.57630003304047</v>
      </c>
      <c r="S237" s="43">
        <f t="shared" si="307"/>
        <v>365.45960516152752</v>
      </c>
      <c r="T237" s="43">
        <f t="shared" si="307"/>
        <v>365.45960516152752</v>
      </c>
      <c r="U237" s="43">
        <f t="shared" si="307"/>
        <v>386.03001112031291</v>
      </c>
      <c r="V237" s="43">
        <f t="shared" si="307"/>
        <v>365.45960516152752</v>
      </c>
      <c r="W237" s="43">
        <f t="shared" ref="W237" si="308">(W173+W182)*(1+W35)+IF(W191&gt;0,W16,W38)*W191*(1-W37)</f>
        <v>372.26952084729606</v>
      </c>
    </row>
    <row r="238" spans="1:23" x14ac:dyDescent="0.3">
      <c r="A238" s="14" t="s">
        <v>555</v>
      </c>
      <c r="B238" s="57">
        <f>B237*(1-B36)/B192</f>
        <v>6.2003657100682438E-2</v>
      </c>
      <c r="C238" s="57">
        <f>C237*(1-C36)/C192</f>
        <v>0.11239395274780815</v>
      </c>
      <c r="D238" s="57">
        <f>D237*(1-D36)/D192</f>
        <v>0.15600599639403137</v>
      </c>
      <c r="H238" s="57">
        <f t="shared" ref="H238:V238" si="309">H237*(1-H36)/H192</f>
        <v>0.11239395274780815</v>
      </c>
      <c r="I238" s="57">
        <f t="shared" si="309"/>
        <v>0.11018945672829777</v>
      </c>
      <c r="J238" s="57">
        <f t="shared" si="309"/>
        <v>0.1117598113923302</v>
      </c>
      <c r="K238" s="57">
        <f t="shared" si="309"/>
        <v>0.10501982860353491</v>
      </c>
      <c r="L238" s="57">
        <f t="shared" si="309"/>
        <v>0.10779600539336003</v>
      </c>
      <c r="M238" s="57">
        <f t="shared" si="309"/>
        <v>0.11239395274780815</v>
      </c>
      <c r="N238" s="57">
        <f t="shared" si="309"/>
        <v>0.11239395274780815</v>
      </c>
      <c r="O238" s="57">
        <f t="shared" si="309"/>
        <v>0.10655736059850253</v>
      </c>
      <c r="P238" s="57">
        <f t="shared" si="309"/>
        <v>0.10732247936972017</v>
      </c>
      <c r="Q238" s="57">
        <f t="shared" si="309"/>
        <v>0.11674096667738421</v>
      </c>
      <c r="R238" s="57">
        <f t="shared" si="309"/>
        <v>0.11036307153792646</v>
      </c>
      <c r="S238" s="57">
        <f t="shared" si="309"/>
        <v>0.11239395274780815</v>
      </c>
      <c r="T238" s="57">
        <f t="shared" si="309"/>
        <v>0.11239395274780815</v>
      </c>
      <c r="U238" s="57">
        <f t="shared" si="309"/>
        <v>0.11577172960339359</v>
      </c>
      <c r="V238" s="57">
        <f t="shared" si="309"/>
        <v>0.11239395274780815</v>
      </c>
      <c r="W238" s="57">
        <f t="shared" ref="W238" si="310">W237*(1-W36)/W192</f>
        <v>0.11379531053079191</v>
      </c>
    </row>
    <row r="239" spans="1:23" x14ac:dyDescent="0.3">
      <c r="A239" s="14" t="s">
        <v>556</v>
      </c>
      <c r="B239" s="60">
        <f>MAX(0,1-B35/B238)</f>
        <v>0.51615757194312639</v>
      </c>
      <c r="C239" s="60">
        <f>MAX(0,1-C35/C238)</f>
        <v>0.73308172489213352</v>
      </c>
      <c r="D239" s="60">
        <f>MAX(0,1-D35/D238)</f>
        <v>0.80769969941265818</v>
      </c>
      <c r="H239" s="60">
        <f t="shared" ref="H239:V239" si="311">MAX(0,1-H35/H238)</f>
        <v>0.73308172489213352</v>
      </c>
      <c r="I239" s="60">
        <f t="shared" si="311"/>
        <v>0.72774164706181277</v>
      </c>
      <c r="J239" s="60">
        <f t="shared" si="311"/>
        <v>0.73156719194267694</v>
      </c>
      <c r="K239" s="60">
        <f t="shared" si="311"/>
        <v>0.71433965948226452</v>
      </c>
      <c r="L239" s="60">
        <f t="shared" si="311"/>
        <v>0.72169655182929504</v>
      </c>
      <c r="M239" s="60">
        <f t="shared" si="311"/>
        <v>0.73308172489213352</v>
      </c>
      <c r="N239" s="60">
        <f t="shared" si="311"/>
        <v>0.73308172489213352</v>
      </c>
      <c r="O239" s="60">
        <f t="shared" si="311"/>
        <v>0.71846149499669953</v>
      </c>
      <c r="P239" s="60">
        <f t="shared" si="311"/>
        <v>0.72046862711164539</v>
      </c>
      <c r="Q239" s="60">
        <f t="shared" si="311"/>
        <v>0.74302080191861397</v>
      </c>
      <c r="R239" s="60">
        <f t="shared" si="311"/>
        <v>0.72816994324328455</v>
      </c>
      <c r="S239" s="60">
        <f t="shared" si="311"/>
        <v>0.73308172489213352</v>
      </c>
      <c r="T239" s="60">
        <f t="shared" si="311"/>
        <v>0.73308172489213352</v>
      </c>
      <c r="U239" s="60">
        <f t="shared" si="311"/>
        <v>0.74086938060981844</v>
      </c>
      <c r="V239" s="60">
        <f t="shared" si="311"/>
        <v>0.73308172489213352</v>
      </c>
      <c r="W239" s="60">
        <f t="shared" ref="W239" si="312">MAX(0,1-W35/W238)</f>
        <v>0.73636874964296273</v>
      </c>
    </row>
    <row r="240" spans="1:23" x14ac:dyDescent="0.3">
      <c r="A240" s="14" t="s">
        <v>557</v>
      </c>
      <c r="B240" s="43">
        <f>B237*(1-B36)*B239/(B44-B35)</f>
        <v>990.53658417059069</v>
      </c>
      <c r="C240" s="43">
        <f>C237*(1-C36)*C239/(C44-C35)</f>
        <v>2931.913691113687</v>
      </c>
      <c r="D240" s="43">
        <f>D237*(1-D36)*D239/(D44-D35)</f>
        <v>5406.0695144305982</v>
      </c>
      <c r="H240" s="43">
        <f t="shared" ref="H240:V240" si="313">H237*(1-H36)*H239/(H44-H35)</f>
        <v>2931.913691113687</v>
      </c>
      <c r="I240" s="43">
        <f t="shared" si="313"/>
        <v>2863.5347746786392</v>
      </c>
      <c r="J240" s="43">
        <f t="shared" si="313"/>
        <v>2939.415881330548</v>
      </c>
      <c r="K240" s="43">
        <f t="shared" si="313"/>
        <v>2542.2404881577472</v>
      </c>
      <c r="L240" s="43">
        <f t="shared" si="313"/>
        <v>2684.5021336813447</v>
      </c>
      <c r="M240" s="43">
        <f t="shared" si="313"/>
        <v>2740.006613149882</v>
      </c>
      <c r="N240" s="43">
        <f t="shared" si="313"/>
        <v>2559.6664751294015</v>
      </c>
      <c r="O240" s="43">
        <f t="shared" si="313"/>
        <v>3007.3601168165842</v>
      </c>
      <c r="P240" s="43">
        <f t="shared" si="313"/>
        <v>2652.5404547120552</v>
      </c>
      <c r="Q240" s="43">
        <f t="shared" si="313"/>
        <v>3188.5090726008389</v>
      </c>
      <c r="R240" s="43">
        <f t="shared" si="313"/>
        <v>2817.5738192425424</v>
      </c>
      <c r="S240" s="43">
        <f t="shared" si="313"/>
        <v>2931.913691113687</v>
      </c>
      <c r="T240" s="43">
        <f t="shared" si="313"/>
        <v>2931.913691113687</v>
      </c>
      <c r="U240" s="43">
        <f t="shared" si="313"/>
        <v>3129.8399040850786</v>
      </c>
      <c r="V240" s="43">
        <f t="shared" si="313"/>
        <v>3181.0103160579101</v>
      </c>
      <c r="W240" s="43">
        <f t="shared" ref="W240" si="314">W237*(1-W36)*W239/(W44-W35)</f>
        <v>2999.9377120240451</v>
      </c>
    </row>
    <row r="241" spans="1:23" x14ac:dyDescent="0.3">
      <c r="A241" s="9" t="s">
        <v>558</v>
      </c>
      <c r="B241" s="67">
        <f>B236+B97+B121+B145+B169+B193+B240/(1+B44)^5</f>
        <v>1091.4387831785893</v>
      </c>
      <c r="C241" s="67">
        <f>C236+C97+C121+C145+C169+C193+C240/(1+C44)^5</f>
        <v>2434.1308298439944</v>
      </c>
      <c r="D241" s="67">
        <f>D236+D97+D121+D145+D169+D193+D240/(1+D44)^5</f>
        <v>4089.830069878723</v>
      </c>
      <c r="H241" s="67">
        <f t="shared" ref="H241:V241" si="315">H236+H97+H121+H145+H169+H193+H240/(1+H44)^5</f>
        <v>2434.1308298439944</v>
      </c>
      <c r="I241" s="67">
        <f t="shared" si="315"/>
        <v>2393.9582552624815</v>
      </c>
      <c r="J241" s="67">
        <f t="shared" si="315"/>
        <v>2438.538362336818</v>
      </c>
      <c r="K241" s="67">
        <f t="shared" si="315"/>
        <v>2205.1980443554403</v>
      </c>
      <c r="L241" s="67">
        <f t="shared" si="315"/>
        <v>2288.7766803274526</v>
      </c>
      <c r="M241" s="67">
        <f t="shared" si="315"/>
        <v>2271.4612757490172</v>
      </c>
      <c r="N241" s="67">
        <f t="shared" si="315"/>
        <v>2118.9083642509904</v>
      </c>
      <c r="O241" s="67">
        <f t="shared" si="315"/>
        <v>2276.3214634991014</v>
      </c>
      <c r="P241" s="67">
        <f t="shared" si="315"/>
        <v>2269.9992120801485</v>
      </c>
      <c r="Q241" s="67">
        <f t="shared" si="315"/>
        <v>2584.8804707783593</v>
      </c>
      <c r="R241" s="67">
        <f t="shared" si="315"/>
        <v>2366.9562200394162</v>
      </c>
      <c r="S241" s="67">
        <f t="shared" si="315"/>
        <v>2434.1308298439944</v>
      </c>
      <c r="T241" s="67">
        <f t="shared" si="315"/>
        <v>2434.1308298439944</v>
      </c>
      <c r="U241" s="67">
        <f t="shared" si="315"/>
        <v>2550.4123675864416</v>
      </c>
      <c r="V241" s="67">
        <f t="shared" si="315"/>
        <v>2645.7055123836317</v>
      </c>
      <c r="W241" s="67">
        <f t="shared" ref="W241" si="316">W236+W97+W121+W145+W169+W193+W240/(1+W44)^5</f>
        <v>2474.094903506254</v>
      </c>
    </row>
    <row r="242" spans="1:23" ht="24" x14ac:dyDescent="0.3">
      <c r="A242" s="9" t="s">
        <v>559</v>
      </c>
      <c r="B242" s="18">
        <f>MAX(0,B241*1000/'01_Số liệu gốc'!$B$8)</f>
        <v>9922.1707561689946</v>
      </c>
      <c r="C242" s="18">
        <f>MAX(0,C241*1000/'01_Số liệu gốc'!$B$8)</f>
        <v>22128.462089490855</v>
      </c>
      <c r="D242" s="18">
        <f>MAX(0,D241*1000/'01_Số liệu gốc'!$B$8)</f>
        <v>37180.273362533844</v>
      </c>
      <c r="F242" s="38" t="s">
        <v>560</v>
      </c>
      <c r="H242" s="18">
        <f>MAX(0,H241*1000/'01_Số liệu gốc'!$B$8)</f>
        <v>22128.462089490855</v>
      </c>
      <c r="I242" s="18">
        <f>MAX(0,I241*1000/'01_Số liệu gốc'!$B$8)</f>
        <v>21763.256866022559</v>
      </c>
      <c r="J242" s="18">
        <f>MAX(0,J241*1000/'01_Số liệu gốc'!$B$8)</f>
        <v>22168.530566698348</v>
      </c>
      <c r="K242" s="18">
        <f>MAX(0,K241*1000/'01_Số liệu gốc'!$B$8)</f>
        <v>20047.254948685822</v>
      </c>
      <c r="L242" s="18">
        <f>MAX(0,L241*1000/'01_Số liệu gốc'!$B$8)</f>
        <v>20807.06073024957</v>
      </c>
      <c r="M242" s="18">
        <f>MAX(0,M241*1000/'01_Số liệu gốc'!$B$8)</f>
        <v>20649.647961354702</v>
      </c>
      <c r="N242" s="18">
        <f>MAX(0,N241*1000/'01_Số liệu gốc'!$B$8)</f>
        <v>19262.803311372641</v>
      </c>
      <c r="O242" s="18">
        <f>MAX(0,O241*1000/'01_Số liệu gốc'!$B$8)</f>
        <v>20693.831486355466</v>
      </c>
      <c r="P242" s="18">
        <f>MAX(0,P241*1000/'01_Số liệu gốc'!$B$8)</f>
        <v>20636.356473455897</v>
      </c>
      <c r="Q242" s="18">
        <f>MAX(0,Q241*1000/'01_Số liệu gốc'!$B$8)</f>
        <v>23498.913370712355</v>
      </c>
      <c r="R242" s="18">
        <f>MAX(0,R241*1000/'01_Số liệu gốc'!$B$8)</f>
        <v>21517.783818540145</v>
      </c>
      <c r="S242" s="18">
        <f>MAX(0,S241*1000/'01_Số liệu gốc'!$B$8)</f>
        <v>22128.462089490855</v>
      </c>
      <c r="T242" s="18">
        <f>MAX(0,T241*1000/'01_Số liệu gốc'!$B$8)</f>
        <v>22128.462089490855</v>
      </c>
      <c r="U242" s="18">
        <f>MAX(0,U241*1000/'01_Số liệu gốc'!$B$8)</f>
        <v>23185.566978058563</v>
      </c>
      <c r="V242" s="18">
        <f>MAX(0,V241*1000/'01_Số liệu gốc'!$B$8)</f>
        <v>24051.868294396652</v>
      </c>
      <c r="W242" s="18">
        <f>MAX(0,W241*1000/'01_Số liệu gốc'!$B$8)</f>
        <v>22491.771850056852</v>
      </c>
    </row>
    <row r="244" spans="1:23" x14ac:dyDescent="0.3">
      <c r="A244" s="51" t="s">
        <v>824</v>
      </c>
      <c r="B244" s="52"/>
      <c r="C244" s="52"/>
      <c r="D244" s="52"/>
      <c r="E244" s="52"/>
      <c r="F244" s="52"/>
      <c r="G244" s="52"/>
      <c r="H244" s="52"/>
      <c r="I244" s="52"/>
      <c r="J244" s="52"/>
      <c r="K244" s="52"/>
      <c r="L244" s="52"/>
      <c r="M244" s="52"/>
      <c r="N244" s="52"/>
      <c r="O244" s="52"/>
      <c r="P244" s="52"/>
      <c r="Q244" s="52"/>
      <c r="R244" s="52"/>
      <c r="S244" s="52"/>
      <c r="T244" s="52"/>
      <c r="U244" s="52"/>
      <c r="V244" s="52"/>
      <c r="W244" s="52"/>
    </row>
    <row r="245" spans="1:23" x14ac:dyDescent="0.3">
      <c r="A245" s="14" t="s">
        <v>13</v>
      </c>
      <c r="B245" s="29">
        <f>B215</f>
        <v>18179.512674484929</v>
      </c>
      <c r="C245" s="29">
        <f>C215</f>
        <v>25370.484576298069</v>
      </c>
      <c r="D245" s="29">
        <f>D215</f>
        <v>37132.350185235206</v>
      </c>
      <c r="E245" s="16">
        <f>'02_Giả định'!$B$19</f>
        <v>0</v>
      </c>
      <c r="H245" s="29">
        <f t="shared" ref="H245:V245" si="317">H215</f>
        <v>25370.484576298069</v>
      </c>
      <c r="I245" s="29">
        <f t="shared" si="317"/>
        <v>28280.926973227251</v>
      </c>
      <c r="J245" s="29">
        <f t="shared" si="317"/>
        <v>25002.040964237363</v>
      </c>
      <c r="K245" s="29">
        <f t="shared" si="317"/>
        <v>23521.172913463848</v>
      </c>
      <c r="L245" s="29">
        <f t="shared" si="317"/>
        <v>24196.318441165233</v>
      </c>
      <c r="M245" s="29">
        <f t="shared" si="317"/>
        <v>25114.314649624885</v>
      </c>
      <c r="N245" s="29">
        <f t="shared" si="317"/>
        <v>25370.484576298069</v>
      </c>
      <c r="O245" s="29">
        <f t="shared" si="317"/>
        <v>25370.484576298069</v>
      </c>
      <c r="P245" s="29">
        <f t="shared" si="317"/>
        <v>23606.375617467111</v>
      </c>
      <c r="Q245" s="29">
        <f t="shared" si="317"/>
        <v>26990.762227466374</v>
      </c>
      <c r="R245" s="29">
        <f t="shared" si="317"/>
        <v>24648.482730604115</v>
      </c>
      <c r="S245" s="29">
        <f t="shared" si="317"/>
        <v>24091.147232042054</v>
      </c>
      <c r="T245" s="29">
        <f t="shared" si="317"/>
        <v>30311.925068486918</v>
      </c>
      <c r="U245" s="29">
        <f t="shared" si="317"/>
        <v>26620.294364764519</v>
      </c>
      <c r="V245" s="29">
        <f t="shared" si="317"/>
        <v>25370.484576298069</v>
      </c>
      <c r="W245" s="29">
        <f t="shared" ref="W245" si="318">W215</f>
        <v>25526.550244411075</v>
      </c>
    </row>
    <row r="246" spans="1:23" x14ac:dyDescent="0.3">
      <c r="A246" s="14" t="s">
        <v>14</v>
      </c>
      <c r="B246" s="29">
        <f>B233</f>
        <v>17205.761196744115</v>
      </c>
      <c r="C246" s="29">
        <f>C233</f>
        <v>25471.704682489966</v>
      </c>
      <c r="D246" s="29">
        <f>D233</f>
        <v>39125.623063186795</v>
      </c>
      <c r="E246" s="16">
        <f>'02_Giả định'!$B$20</f>
        <v>1</v>
      </c>
      <c r="H246" s="29">
        <f t="shared" ref="H246:V246" si="319">H233</f>
        <v>25471.704682489966</v>
      </c>
      <c r="I246" s="29">
        <f t="shared" si="319"/>
        <v>28382.147079419145</v>
      </c>
      <c r="J246" s="29">
        <f t="shared" si="319"/>
        <v>25103.26107042926</v>
      </c>
      <c r="K246" s="29">
        <f t="shared" si="319"/>
        <v>23622.393019655745</v>
      </c>
      <c r="L246" s="29">
        <f t="shared" si="319"/>
        <v>24297.53854735713</v>
      </c>
      <c r="M246" s="29">
        <f t="shared" si="319"/>
        <v>24084.528623053102</v>
      </c>
      <c r="N246" s="29">
        <f t="shared" si="319"/>
        <v>23277.736418241799</v>
      </c>
      <c r="O246" s="29">
        <f t="shared" si="319"/>
        <v>25471.704682489966</v>
      </c>
      <c r="P246" s="29">
        <f t="shared" si="319"/>
        <v>23485.524938886163</v>
      </c>
      <c r="Q246" s="29">
        <f t="shared" si="319"/>
        <v>27295.947246224299</v>
      </c>
      <c r="R246" s="29">
        <f t="shared" si="319"/>
        <v>24658.815300809038</v>
      </c>
      <c r="S246" s="29">
        <f t="shared" si="319"/>
        <v>25471.704682489966</v>
      </c>
      <c r="T246" s="29">
        <f t="shared" si="319"/>
        <v>25471.704682489966</v>
      </c>
      <c r="U246" s="29">
        <f t="shared" si="319"/>
        <v>26878.843891654713</v>
      </c>
      <c r="V246" s="29">
        <f t="shared" si="319"/>
        <v>26939.58743082533</v>
      </c>
      <c r="W246" s="29">
        <f t="shared" ref="W246" si="320">W233</f>
        <v>25915.771299517801</v>
      </c>
    </row>
    <row r="247" spans="1:23" x14ac:dyDescent="0.3">
      <c r="A247" s="14" t="s">
        <v>15</v>
      </c>
      <c r="B247" s="29">
        <f>B242</f>
        <v>9922.1707561689946</v>
      </c>
      <c r="C247" s="29">
        <f>C242</f>
        <v>22128.462089490855</v>
      </c>
      <c r="D247" s="29">
        <f>D242</f>
        <v>37180.273362533844</v>
      </c>
      <c r="E247" s="16">
        <f>'02_Giả định'!$B$21</f>
        <v>0</v>
      </c>
      <c r="H247" s="29">
        <f t="shared" ref="H247:V247" si="321">H242</f>
        <v>22128.462089490855</v>
      </c>
      <c r="I247" s="29">
        <f t="shared" si="321"/>
        <v>21763.256866022559</v>
      </c>
      <c r="J247" s="29">
        <f t="shared" si="321"/>
        <v>22168.530566698348</v>
      </c>
      <c r="K247" s="29">
        <f t="shared" si="321"/>
        <v>20047.254948685822</v>
      </c>
      <c r="L247" s="29">
        <f t="shared" si="321"/>
        <v>20807.06073024957</v>
      </c>
      <c r="M247" s="29">
        <f t="shared" si="321"/>
        <v>20649.647961354702</v>
      </c>
      <c r="N247" s="29">
        <f t="shared" si="321"/>
        <v>19262.803311372641</v>
      </c>
      <c r="O247" s="29">
        <f t="shared" si="321"/>
        <v>20693.831486355466</v>
      </c>
      <c r="P247" s="29">
        <f t="shared" si="321"/>
        <v>20636.356473455897</v>
      </c>
      <c r="Q247" s="29">
        <f t="shared" si="321"/>
        <v>23498.913370712355</v>
      </c>
      <c r="R247" s="29">
        <f t="shared" si="321"/>
        <v>21517.783818540145</v>
      </c>
      <c r="S247" s="29">
        <f t="shared" si="321"/>
        <v>22128.462089490855</v>
      </c>
      <c r="T247" s="29">
        <f t="shared" si="321"/>
        <v>22128.462089490855</v>
      </c>
      <c r="U247" s="29">
        <f t="shared" si="321"/>
        <v>23185.566978058563</v>
      </c>
      <c r="V247" s="29">
        <f t="shared" si="321"/>
        <v>24051.868294396652</v>
      </c>
      <c r="W247" s="29">
        <f t="shared" ref="W247" si="322">W242</f>
        <v>22491.771850056852</v>
      </c>
    </row>
    <row r="248" spans="1:23" x14ac:dyDescent="0.3">
      <c r="A248" s="14" t="s">
        <v>16</v>
      </c>
      <c r="B248" s="29">
        <f>B224</f>
        <v>14239.967224531309</v>
      </c>
      <c r="C248" s="29">
        <f>C224</f>
        <v>18858.334973027948</v>
      </c>
      <c r="D248" s="29">
        <f>D224</f>
        <v>24631.294658648752</v>
      </c>
      <c r="E248" s="16">
        <f>'02_Giả định'!$B$22</f>
        <v>0</v>
      </c>
      <c r="H248" s="29">
        <f t="shared" ref="H248:V248" si="323">H224</f>
        <v>18858.334973027948</v>
      </c>
      <c r="I248" s="29">
        <f t="shared" si="323"/>
        <v>18858.334973027948</v>
      </c>
      <c r="J248" s="29">
        <f t="shared" si="323"/>
        <v>18858.334973027948</v>
      </c>
      <c r="K248" s="29">
        <f t="shared" si="323"/>
        <v>18858.334973027948</v>
      </c>
      <c r="L248" s="29">
        <f t="shared" si="323"/>
        <v>18858.334973027948</v>
      </c>
      <c r="M248" s="29">
        <f t="shared" si="323"/>
        <v>17623.971229338847</v>
      </c>
      <c r="N248" s="29">
        <f t="shared" si="323"/>
        <v>16464.007093225249</v>
      </c>
      <c r="O248" s="29">
        <f t="shared" si="323"/>
        <v>18858.334973027948</v>
      </c>
      <c r="P248" s="29">
        <f t="shared" si="323"/>
        <v>18858.334973027948</v>
      </c>
      <c r="Q248" s="29">
        <f t="shared" si="323"/>
        <v>18858.334973027948</v>
      </c>
      <c r="R248" s="29">
        <f t="shared" si="323"/>
        <v>18858.334973027948</v>
      </c>
      <c r="S248" s="29">
        <f t="shared" si="323"/>
        <v>18858.334973027948</v>
      </c>
      <c r="T248" s="29">
        <f t="shared" si="323"/>
        <v>18858.334973027948</v>
      </c>
      <c r="U248" s="29">
        <f t="shared" si="323"/>
        <v>18858.334973027948</v>
      </c>
      <c r="V248" s="29">
        <f t="shared" si="323"/>
        <v>20460.547073638762</v>
      </c>
      <c r="W248" s="29">
        <f t="shared" ref="W248" si="324">W224</f>
        <v>18858.334973027948</v>
      </c>
    </row>
    <row r="249" spans="1:23" x14ac:dyDescent="0.3">
      <c r="A249" s="14" t="s">
        <v>17</v>
      </c>
      <c r="B249" s="29">
        <f>B220</f>
        <v>19704.207274016597</v>
      </c>
      <c r="C249" s="29">
        <f>C220</f>
        <v>25241.008218966559</v>
      </c>
      <c r="D249" s="29">
        <f>D220</f>
        <v>35335.96857535965</v>
      </c>
      <c r="E249" s="16">
        <f>'02_Giả định'!$B$23</f>
        <v>0</v>
      </c>
      <c r="H249" s="29">
        <f t="shared" ref="H249:V249" si="325">H220</f>
        <v>25241.008218966559</v>
      </c>
      <c r="I249" s="29">
        <f t="shared" si="325"/>
        <v>28151.450615895741</v>
      </c>
      <c r="J249" s="29">
        <f t="shared" si="325"/>
        <v>24872.564606905857</v>
      </c>
      <c r="K249" s="29">
        <f t="shared" si="325"/>
        <v>23391.696556132345</v>
      </c>
      <c r="L249" s="29">
        <f t="shared" si="325"/>
        <v>24066.842083833726</v>
      </c>
      <c r="M249" s="29">
        <f t="shared" si="325"/>
        <v>24984.838292293378</v>
      </c>
      <c r="N249" s="29">
        <f t="shared" si="325"/>
        <v>25241.008218966559</v>
      </c>
      <c r="O249" s="29">
        <f t="shared" si="325"/>
        <v>25241.008218966559</v>
      </c>
      <c r="P249" s="29">
        <f t="shared" si="325"/>
        <v>23924.687601198242</v>
      </c>
      <c r="Q249" s="29">
        <f t="shared" si="325"/>
        <v>26450.006602011697</v>
      </c>
      <c r="R249" s="29">
        <f t="shared" si="325"/>
        <v>24702.273969703674</v>
      </c>
      <c r="S249" s="29">
        <f t="shared" si="325"/>
        <v>25241.008218966559</v>
      </c>
      <c r="T249" s="29">
        <f t="shared" si="325"/>
        <v>25241.008218966559</v>
      </c>
      <c r="U249" s="29">
        <f t="shared" si="325"/>
        <v>26173.575555361283</v>
      </c>
      <c r="V249" s="29">
        <f t="shared" si="325"/>
        <v>25241.008218966559</v>
      </c>
      <c r="W249" s="29">
        <f t="shared" ref="W249" si="326">W220</f>
        <v>25357.459334774667</v>
      </c>
    </row>
    <row r="250" spans="1:23" x14ac:dyDescent="0.3">
      <c r="A250" s="9" t="s">
        <v>825</v>
      </c>
      <c r="B250" s="73">
        <f>SUMPRODUCT(B245:B249,$E$245:$E$249)</f>
        <v>17205.761196744115</v>
      </c>
      <c r="C250" s="73">
        <f>SUMPRODUCT(C245:C249,$E$245:$E$249)</f>
        <v>25471.704682489966</v>
      </c>
      <c r="D250" s="73">
        <f>SUMPRODUCT(D245:D249,$E$245:$E$249)</f>
        <v>39125.623063186795</v>
      </c>
      <c r="H250" s="73">
        <f t="shared" ref="H250:V250" si="327">SUMPRODUCT(H245:H249,$E$245:$E$249)</f>
        <v>25471.704682489966</v>
      </c>
      <c r="I250" s="73">
        <f t="shared" si="327"/>
        <v>28382.147079419145</v>
      </c>
      <c r="J250" s="73">
        <f t="shared" si="327"/>
        <v>25103.26107042926</v>
      </c>
      <c r="K250" s="73">
        <f t="shared" si="327"/>
        <v>23622.393019655745</v>
      </c>
      <c r="L250" s="73">
        <f t="shared" si="327"/>
        <v>24297.53854735713</v>
      </c>
      <c r="M250" s="73">
        <f t="shared" si="327"/>
        <v>24084.528623053102</v>
      </c>
      <c r="N250" s="73">
        <f t="shared" si="327"/>
        <v>23277.736418241799</v>
      </c>
      <c r="O250" s="73">
        <f t="shared" si="327"/>
        <v>25471.704682489966</v>
      </c>
      <c r="P250" s="73">
        <f t="shared" si="327"/>
        <v>23485.524938886163</v>
      </c>
      <c r="Q250" s="73">
        <f t="shared" si="327"/>
        <v>27295.947246224299</v>
      </c>
      <c r="R250" s="73">
        <f t="shared" si="327"/>
        <v>24658.815300809038</v>
      </c>
      <c r="S250" s="73">
        <f t="shared" si="327"/>
        <v>25471.704682489966</v>
      </c>
      <c r="T250" s="73">
        <f t="shared" si="327"/>
        <v>25471.704682489966</v>
      </c>
      <c r="U250" s="73">
        <f t="shared" si="327"/>
        <v>26878.843891654713</v>
      </c>
      <c r="V250" s="73">
        <f t="shared" si="327"/>
        <v>26939.58743082533</v>
      </c>
      <c r="W250" s="73">
        <f t="shared" ref="W250" si="328">SUMPRODUCT(W245:W249,$E$245:$E$249)</f>
        <v>25915.771299517801</v>
      </c>
    </row>
    <row r="251" spans="1:23" x14ac:dyDescent="0.3">
      <c r="A251" s="14" t="s">
        <v>561</v>
      </c>
      <c r="B251" s="72">
        <f>IF(MIN(B245:B249)&lt;=0,"có phương pháp = 0",MAX(B245:B249)/MIN(B245:B249))</f>
        <v>1.9858766552435851</v>
      </c>
      <c r="C251" s="72">
        <f>IF(MIN(C245:C249)&lt;=0,"có phương pháp = 0",MAX(C245:C249)/MIN(C245:C249))</f>
        <v>1.3506868299306785</v>
      </c>
      <c r="D251" s="72">
        <f>IF(MIN(D245:D249)&lt;=0,"có phương pháp = 0",MAX(D245:D249)/MIN(D245:D249))</f>
        <v>1.5884517482904079</v>
      </c>
      <c r="F251" s="38" t="s">
        <v>27</v>
      </c>
      <c r="H251" s="72">
        <f t="shared" ref="H251:V251" si="329">IF(MIN(H245:H249)&lt;=0,"có phương pháp = 0",MAX(H245:H249)/MIN(H245:H249))</f>
        <v>1.3506868299306785</v>
      </c>
      <c r="I251" s="72">
        <f t="shared" si="329"/>
        <v>1.5050187155977761</v>
      </c>
      <c r="J251" s="72">
        <f t="shared" si="329"/>
        <v>1.3311493886566916</v>
      </c>
      <c r="K251" s="72">
        <f t="shared" si="329"/>
        <v>1.2526234714486497</v>
      </c>
      <c r="L251" s="72">
        <f t="shared" si="329"/>
        <v>1.2884243801008191</v>
      </c>
      <c r="M251" s="72">
        <f t="shared" si="329"/>
        <v>1.4250088315973173</v>
      </c>
      <c r="N251" s="72">
        <f t="shared" si="329"/>
        <v>1.5409665722713235</v>
      </c>
      <c r="O251" s="72">
        <f t="shared" si="329"/>
        <v>1.3506868299306785</v>
      </c>
      <c r="P251" s="72">
        <f t="shared" si="329"/>
        <v>1.2686532313386321</v>
      </c>
      <c r="Q251" s="72">
        <f t="shared" si="329"/>
        <v>1.4474208505291803</v>
      </c>
      <c r="R251" s="72">
        <f t="shared" si="329"/>
        <v>1.309886265411766</v>
      </c>
      <c r="S251" s="72">
        <f t="shared" si="329"/>
        <v>1.3506868299306785</v>
      </c>
      <c r="T251" s="72">
        <f t="shared" si="329"/>
        <v>1.6073489579987001</v>
      </c>
      <c r="U251" s="72">
        <f t="shared" si="329"/>
        <v>1.4253031314852591</v>
      </c>
      <c r="V251" s="72">
        <f t="shared" si="329"/>
        <v>1.3166601720798621</v>
      </c>
      <c r="W251" s="72">
        <f t="shared" ref="W251" si="330">IF(MIN(W245:W249)&lt;=0,"có phương pháp = 0",MAX(W245:W249)/MIN(W245:W249))</f>
        <v>1.374234328565259</v>
      </c>
    </row>
    <row r="252" spans="1:23" x14ac:dyDescent="0.3">
      <c r="A252" s="14" t="s">
        <v>18</v>
      </c>
      <c r="B252" s="19">
        <f>B250/'01_Số liệu gốc'!$B$11-1</f>
        <v>-0.34949863150305804</v>
      </c>
      <c r="C252" s="19">
        <f>C250/'01_Số liệu gốc'!$B$11-1</f>
        <v>-3.6986590454065604E-2</v>
      </c>
      <c r="D252" s="19">
        <f>D250/'01_Số liệu gốc'!$B$11-1</f>
        <v>0.47922960541348947</v>
      </c>
      <c r="H252" s="19">
        <f>H250/'01_Số liệu gốc'!$B$11-1</f>
        <v>-3.6986590454065604E-2</v>
      </c>
      <c r="I252" s="19">
        <f>I250/'01_Số liệu gốc'!$B$11-1</f>
        <v>7.3049038919438258E-2</v>
      </c>
      <c r="J252" s="19">
        <f>J250/'01_Số liệu gốc'!$B$11-1</f>
        <v>-5.091640565484834E-2</v>
      </c>
      <c r="K252" s="19">
        <f>K250/'01_Số liệu gốc'!$B$11-1</f>
        <v>-0.10690385558957483</v>
      </c>
      <c r="L252" s="19">
        <f>L250/'01_Số liệu gốc'!$B$11-1</f>
        <v>-8.1378504825817433E-2</v>
      </c>
      <c r="M252" s="19">
        <f>M250/'01_Số liệu gốc'!$B$11-1</f>
        <v>-8.9431810092510333E-2</v>
      </c>
      <c r="N252" s="19">
        <f>N250/'01_Số liệu gốc'!$B$11-1</f>
        <v>-0.11993435091713422</v>
      </c>
      <c r="O252" s="19">
        <f>O250/'01_Số liệu gốc'!$B$11-1</f>
        <v>-3.6986590454065604E-2</v>
      </c>
      <c r="P252" s="19">
        <f>P250/'01_Số liệu gốc'!$B$11-1</f>
        <v>-0.11207845221602408</v>
      </c>
      <c r="Q252" s="19">
        <f>Q250/'01_Số liệu gốc'!$B$11-1</f>
        <v>3.1982882654983058E-2</v>
      </c>
      <c r="R252" s="19">
        <f>R250/'01_Số liệu gốc'!$B$11-1</f>
        <v>-6.7719648362607243E-2</v>
      </c>
      <c r="S252" s="19">
        <f>S250/'01_Số liệu gốc'!$B$11-1</f>
        <v>-3.6986590454065604E-2</v>
      </c>
      <c r="T252" s="19">
        <f>T250/'01_Số liệu gốc'!$B$11-1</f>
        <v>-3.6986590454065604E-2</v>
      </c>
      <c r="U252" s="19">
        <f>U250/'01_Số liệu gốc'!$B$11-1</f>
        <v>1.6213379646681014E-2</v>
      </c>
      <c r="V252" s="19">
        <f>V250/'01_Số liệu gốc'!$B$11-1</f>
        <v>1.8509921770333726E-2</v>
      </c>
      <c r="W252" s="19">
        <f>W250/'01_Số liệu gốc'!$B$11-1</f>
        <v>-2.019768243789033E-2</v>
      </c>
    </row>
    <row r="253" spans="1:23" x14ac:dyDescent="0.3">
      <c r="A253" s="14" t="s">
        <v>562</v>
      </c>
      <c r="H253" s="9" t="str">
        <f>IF(ABS(H250-C250)&lt;0.001,"KHỚP","LỆCH")</f>
        <v>KHỚP</v>
      </c>
    </row>
    <row r="254" spans="1:23" x14ac:dyDescent="0.3">
      <c r="A254" s="14" t="s">
        <v>19</v>
      </c>
      <c r="B254" s="16">
        <f>'02_Giả định'!B73</f>
        <v>0.25</v>
      </c>
      <c r="C254" s="16">
        <f>'02_Giả định'!C73</f>
        <v>0.5</v>
      </c>
      <c r="D254" s="16">
        <f>'02_Giả định'!D73</f>
        <v>0.25</v>
      </c>
    </row>
    <row r="255" spans="1:23" x14ac:dyDescent="0.3">
      <c r="A255" s="14" t="s">
        <v>563</v>
      </c>
      <c r="B255" s="29">
        <f>B250*B254</f>
        <v>4301.4402991860288</v>
      </c>
      <c r="C255" s="29">
        <f>C250*C254</f>
        <v>12735.852341244983</v>
      </c>
      <c r="D255" s="29">
        <f>D250*D254</f>
        <v>9781.4057657966987</v>
      </c>
    </row>
    <row r="257" spans="1:6" ht="15.6" x14ac:dyDescent="0.3">
      <c r="A257" s="20" t="s">
        <v>21</v>
      </c>
      <c r="B257" s="74">
        <f>SUMPRODUCT(B250:D250,B254:D254)</f>
        <v>26818.698406227712</v>
      </c>
      <c r="F257" s="38" t="s">
        <v>22</v>
      </c>
    </row>
    <row r="258" spans="1:6" x14ac:dyDescent="0.3">
      <c r="A258" s="14" t="s">
        <v>564</v>
      </c>
      <c r="B258" s="15">
        <f>'01_Số liệu gốc'!$B$11</f>
        <v>26450</v>
      </c>
      <c r="F258" s="38"/>
    </row>
    <row r="259" spans="1:6" x14ac:dyDescent="0.3">
      <c r="A259" s="14" t="s">
        <v>23</v>
      </c>
      <c r="B259" s="57">
        <f>1-B258/B257</f>
        <v>1.3747811345762195E-2</v>
      </c>
      <c r="F259" s="38" t="s">
        <v>565</v>
      </c>
    </row>
    <row r="260" spans="1:6" x14ac:dyDescent="0.3">
      <c r="A260" s="14" t="s">
        <v>24</v>
      </c>
      <c r="B260" s="72">
        <f>(B257-B258)/(B258-B250)</f>
        <v>3.9884128274342436E-2</v>
      </c>
      <c r="F260" s="38" t="s">
        <v>566</v>
      </c>
    </row>
    <row r="261" spans="1:6" x14ac:dyDescent="0.3">
      <c r="A261" s="14" t="s">
        <v>567</v>
      </c>
      <c r="B261" s="57">
        <f>B257/B258-1</f>
        <v>1.3939448250575026E-2</v>
      </c>
      <c r="F261" s="38"/>
    </row>
  </sheetData>
  <pageMargins left="0.4" right="0.4" top="0.7" bottom="0.6" header="0.5" footer="0.5"/>
  <pageSetup paperSize="9" scale="38" fitToHeight="0" orientation="landscape" r:id="rId1"/>
  <headerFooter>
    <oddHeader>&amp;R&amp;A&amp;LMCM — Định giá DCF + tiền + dự án</oddHeader>
    <oddFooter>&amp;RTrang &amp;P / &amp;N&amp;LFairline Research — bản 13/10/2026</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5597"/>
    <pageSetUpPr fitToPage="1"/>
  </sheetPr>
  <dimension ref="A1:G54"/>
  <sheetViews>
    <sheetView showGridLines="0" zoomScale="90" workbookViewId="0"/>
  </sheetViews>
  <sheetFormatPr defaultRowHeight="14.4" x14ac:dyDescent="0.3"/>
  <cols>
    <col min="1" max="1" width="64" customWidth="1"/>
    <col min="2" max="6" width="14" customWidth="1"/>
    <col min="7" max="7" width="60" customWidth="1"/>
  </cols>
  <sheetData>
    <row r="1" spans="1:7" ht="18" x14ac:dyDescent="0.3">
      <c r="A1" s="1" t="s">
        <v>568</v>
      </c>
    </row>
    <row r="2" spans="1:7" x14ac:dyDescent="0.3">
      <c r="A2" s="17" t="s">
        <v>569</v>
      </c>
    </row>
    <row r="4" spans="1:7" x14ac:dyDescent="0.3">
      <c r="A4" s="11" t="s">
        <v>853</v>
      </c>
      <c r="B4" s="12"/>
      <c r="C4" s="12"/>
      <c r="D4" s="12"/>
      <c r="E4" s="12"/>
      <c r="F4" s="12"/>
      <c r="G4" s="12"/>
    </row>
    <row r="5" spans="1:7" x14ac:dyDescent="0.3">
      <c r="A5" s="51" t="s">
        <v>570</v>
      </c>
      <c r="B5" s="75">
        <f>'03_Định giá'!$C$9-0.02</f>
        <v>0.25</v>
      </c>
      <c r="C5" s="75">
        <f>'03_Định giá'!$C$9-0.01</f>
        <v>0.26</v>
      </c>
      <c r="D5" s="75">
        <f>'03_Định giá'!$C$9+0</f>
        <v>0.27</v>
      </c>
      <c r="E5" s="75">
        <f>'03_Định giá'!$C$9+0.01</f>
        <v>0.28000000000000003</v>
      </c>
      <c r="F5" s="75">
        <f>'03_Định giá'!$C$9+0.02</f>
        <v>0.29000000000000004</v>
      </c>
    </row>
    <row r="6" spans="1:7" x14ac:dyDescent="0.3">
      <c r="A6" s="76">
        <f>'03_Định giá'!$C$6-300</f>
        <v>2150</v>
      </c>
      <c r="B6" s="15">
        <f>MAX(0,(('03_Định giá'!$C$40*'03_Định giá'!$C$7+('03_Định giá'!$C$48-(B$5))*($A6)-'03_Định giá'!$C$42)*(1-'03_Định giá'!$C$10)*(1-'03_Định giá'!$C$36)*'03_Định giá'!$C$12+'03_Định giá'!$C$209*(1-'02_Giả định'!$B$26)+'03_Định giá'!$C$202)*1000/'01_Số liệu gốc'!$B$8)</f>
        <v>26959.486554531635</v>
      </c>
      <c r="C6" s="15">
        <f>MAX(0,(('03_Định giá'!$C$40*'03_Định giá'!$C$7+('03_Định giá'!$C$48-(C$5))*($A6)-'03_Định giá'!$C$42)*(1-'03_Định giá'!$C$10)*(1-'03_Định giá'!$C$36)*'03_Định giá'!$C$12+'03_Định giá'!$C$209*(1-'02_Giả định'!$B$26)+'03_Định giá'!$C$202)*1000/'01_Số liệu gốc'!$B$8)</f>
        <v>25230.652009077086</v>
      </c>
      <c r="D6" s="15">
        <f>MAX(0,(('03_Định giá'!$C$40*'03_Định giá'!$C$7+('03_Định giá'!$C$48-(D$5))*($A6)-'03_Định giá'!$C$42)*(1-'03_Định giá'!$C$10)*(1-'03_Định giá'!$C$36)*'03_Định giá'!$C$12+'03_Định giá'!$C$209*(1-'02_Giả định'!$B$26)+'03_Định giá'!$C$202)*1000/'01_Số liệu gốc'!$B$8)</f>
        <v>23501.817463622538</v>
      </c>
      <c r="E6" s="15">
        <f>MAX(0,(('03_Định giá'!$C$40*'03_Định giá'!$C$7+('03_Định giá'!$C$48-(E$5))*($A6)-'03_Định giá'!$C$42)*(1-'03_Định giá'!$C$10)*(1-'03_Định giá'!$C$36)*'03_Định giá'!$C$12+'03_Định giá'!$C$209*(1-'02_Giả định'!$B$26)+'03_Định giá'!$C$202)*1000/'01_Số liệu gốc'!$B$8)</f>
        <v>21772.982918167985</v>
      </c>
      <c r="F6" s="15">
        <f>MAX(0,(('03_Định giá'!$C$40*'03_Định giá'!$C$7+('03_Định giá'!$C$48-(F$5))*($A6)-'03_Định giá'!$C$42)*(1-'03_Định giá'!$C$10)*(1-'03_Định giá'!$C$36)*'03_Định giá'!$C$12+'03_Định giá'!$C$209*(1-'02_Giả định'!$B$26)+'03_Định giá'!$C$202)*1000/'01_Số liệu gốc'!$B$8)</f>
        <v>20044.148372713444</v>
      </c>
    </row>
    <row r="7" spans="1:7" x14ac:dyDescent="0.3">
      <c r="A7" s="76">
        <f>'03_Định giá'!$C$6-150</f>
        <v>2300</v>
      </c>
      <c r="B7" s="15">
        <f>MAX(0,(('03_Định giá'!$C$40*'03_Định giá'!$C$7+('03_Định giá'!$C$48-(B$5))*($A7)-'03_Định giá'!$C$42)*(1-'03_Định giá'!$C$10)*(1-'03_Định giá'!$C$36)*'03_Định giá'!$C$12+'03_Định giá'!$C$209*(1-'02_Giả định'!$B$26)+'03_Định giá'!$C$202)*1000/'01_Số liệu gốc'!$B$8)</f>
        <v>28135.052838142125</v>
      </c>
      <c r="C7" s="15">
        <f>MAX(0,(('03_Định giá'!$C$40*'03_Định giá'!$C$7+('03_Định giá'!$C$48-(C$5))*($A7)-'03_Định giá'!$C$42)*(1-'03_Định giá'!$C$10)*(1-'03_Định giá'!$C$36)*'03_Định giá'!$C$12+'03_Định giá'!$C$209*(1-'02_Giả định'!$B$26)+'03_Định giá'!$C$202)*1000/'01_Số liệu gốc'!$B$8)</f>
        <v>26285.601929051212</v>
      </c>
      <c r="D7" s="15">
        <f>MAX(0,(('03_Định giá'!$C$40*'03_Định giá'!$C$7+('03_Định giá'!$C$48-(D$5))*($A7)-'03_Định giá'!$C$42)*(1-'03_Định giá'!$C$10)*(1-'03_Định giá'!$C$36)*'03_Định giá'!$C$12+'03_Định giá'!$C$209*(1-'02_Giả định'!$B$26)+'03_Định giá'!$C$202)*1000/'01_Số liệu gốc'!$B$8)</f>
        <v>24436.151019960304</v>
      </c>
      <c r="E7" s="15">
        <f>MAX(0,(('03_Định giá'!$C$40*'03_Định giá'!$C$7+('03_Định giá'!$C$48-(E$5))*($A7)-'03_Định giá'!$C$42)*(1-'03_Định giá'!$C$10)*(1-'03_Định giá'!$C$36)*'03_Định giá'!$C$12+'03_Định giá'!$C$209*(1-'02_Giả định'!$B$26)+'03_Định giá'!$C$202)*1000/'01_Số liệu gốc'!$B$8)</f>
        <v>22586.700110869388</v>
      </c>
      <c r="F7" s="15">
        <f>MAX(0,(('03_Định giá'!$C$40*'03_Định giá'!$C$7+('03_Định giá'!$C$48-(F$5))*($A7)-'03_Định giá'!$C$42)*(1-'03_Định giá'!$C$10)*(1-'03_Định giá'!$C$36)*'03_Định giá'!$C$12+'03_Định giá'!$C$209*(1-'02_Giả định'!$B$26)+'03_Định giá'!$C$202)*1000/'01_Số liệu gốc'!$B$8)</f>
        <v>20737.249201778479</v>
      </c>
    </row>
    <row r="8" spans="1:7" x14ac:dyDescent="0.3">
      <c r="A8" s="76">
        <f>'03_Định giá'!$C$6+0</f>
        <v>2450</v>
      </c>
      <c r="B8" s="15">
        <f>MAX(0,(('03_Định giá'!$C$40*'03_Định giá'!$C$7+('03_Định giá'!$C$48-(B$5))*($A8)-'03_Định giá'!$C$42)*(1-'03_Định giá'!$C$10)*(1-'03_Định giá'!$C$36)*'03_Định giá'!$C$12+'03_Định giá'!$C$209*(1-'02_Giả định'!$B$26)+'03_Định giá'!$C$202)*1000/'01_Số liệu gốc'!$B$8)</f>
        <v>29310.619121752618</v>
      </c>
      <c r="C8" s="15">
        <f>MAX(0,(('03_Định giá'!$C$40*'03_Định giá'!$C$7+('03_Định giá'!$C$48-(C$5))*($A8)-'03_Định giá'!$C$42)*(1-'03_Định giá'!$C$10)*(1-'03_Định giá'!$C$36)*'03_Định giá'!$C$12+'03_Định giá'!$C$209*(1-'02_Giả định'!$B$26)+'03_Định giá'!$C$202)*1000/'01_Số liệu gốc'!$B$8)</f>
        <v>27340.551849025338</v>
      </c>
      <c r="D8" s="42">
        <f>MAX(0,(('03_Định giá'!$C$40*'03_Định giá'!$C$7+('03_Định giá'!$C$48-(D$5))*($A8)-'03_Định giá'!$C$42)*(1-'03_Định giá'!$C$10)*(1-'03_Định giá'!$C$36)*'03_Định giá'!$C$12+'03_Định giá'!$C$209*(1-'02_Giả định'!$B$26)+'03_Định giá'!$C$202)*1000/'01_Số liệu gốc'!$B$8)</f>
        <v>25370.484576298059</v>
      </c>
      <c r="E8" s="15">
        <f>MAX(0,(('03_Định giá'!$C$40*'03_Định giá'!$C$7+('03_Định giá'!$C$48-(E$5))*($A8)-'03_Định giá'!$C$42)*(1-'03_Định giá'!$C$10)*(1-'03_Định giá'!$C$36)*'03_Định giá'!$C$12+'03_Định giá'!$C$209*(1-'02_Giả định'!$B$26)+'03_Định giá'!$C$202)*1000/'01_Số liệu gốc'!$B$8)</f>
        <v>23400.417303570783</v>
      </c>
      <c r="F8" s="15">
        <f>MAX(0,(('03_Định giá'!$C$40*'03_Định giá'!$C$7+('03_Định giá'!$C$48-(F$5))*($A8)-'03_Định giá'!$C$42)*(1-'03_Định giá'!$C$10)*(1-'03_Định giá'!$C$36)*'03_Định giá'!$C$12+'03_Định giá'!$C$209*(1-'02_Giả định'!$B$26)+'03_Định giá'!$C$202)*1000/'01_Số liệu gốc'!$B$8)</f>
        <v>21430.350030843514</v>
      </c>
    </row>
    <row r="9" spans="1:7" x14ac:dyDescent="0.3">
      <c r="A9" s="76">
        <f>'03_Định giá'!$C$6+150</f>
        <v>2600</v>
      </c>
      <c r="B9" s="15">
        <f>MAX(0,(('03_Định giá'!$C$40*'03_Định giá'!$C$7+('03_Định giá'!$C$48-(B$5))*($A9)-'03_Định giá'!$C$42)*(1-'03_Định giá'!$C$10)*(1-'03_Định giá'!$C$36)*'03_Định giá'!$C$12+'03_Định giá'!$C$209*(1-'02_Giả định'!$B$26)+'03_Định giá'!$C$202)*1000/'01_Số liệu gốc'!$B$8)</f>
        <v>30486.1854053631</v>
      </c>
      <c r="C9" s="15">
        <f>MAX(0,(('03_Định giá'!$C$40*'03_Định giá'!$C$7+('03_Định giá'!$C$48-(C$5))*($A9)-'03_Định giá'!$C$42)*(1-'03_Định giá'!$C$10)*(1-'03_Định giá'!$C$36)*'03_Định giá'!$C$12+'03_Định giá'!$C$209*(1-'02_Giả định'!$B$26)+'03_Định giá'!$C$202)*1000/'01_Số liệu gốc'!$B$8)</f>
        <v>28395.501768999464</v>
      </c>
      <c r="D9" s="15">
        <f>MAX(0,(('03_Định giá'!$C$40*'03_Định giá'!$C$7+('03_Định giá'!$C$48-(D$5))*($A9)-'03_Định giá'!$C$42)*(1-'03_Định giá'!$C$10)*(1-'03_Định giá'!$C$36)*'03_Định giá'!$C$12+'03_Định giá'!$C$209*(1-'02_Giả định'!$B$26)+'03_Định giá'!$C$202)*1000/'01_Số liệu gốc'!$B$8)</f>
        <v>26304.818132635832</v>
      </c>
      <c r="E9" s="15">
        <f>MAX(0,(('03_Định giá'!$C$40*'03_Định giá'!$C$7+('03_Định giá'!$C$48-(E$5))*($A9)-'03_Định giá'!$C$42)*(1-'03_Định giá'!$C$10)*(1-'03_Định giá'!$C$36)*'03_Định giá'!$C$12+'03_Định giá'!$C$209*(1-'02_Giả định'!$B$26)+'03_Định giá'!$C$202)*1000/'01_Số liệu gốc'!$B$8)</f>
        <v>24214.134496272185</v>
      </c>
      <c r="F9" s="15">
        <f>MAX(0,(('03_Định giá'!$C$40*'03_Định giá'!$C$7+('03_Định giá'!$C$48-(F$5))*($A9)-'03_Định giá'!$C$42)*(1-'03_Định giá'!$C$10)*(1-'03_Định giá'!$C$36)*'03_Định giá'!$C$12+'03_Định giá'!$C$209*(1-'02_Giả định'!$B$26)+'03_Định giá'!$C$202)*1000/'01_Số liệu gốc'!$B$8)</f>
        <v>22123.450859908553</v>
      </c>
    </row>
    <row r="10" spans="1:7" x14ac:dyDescent="0.3">
      <c r="A10" s="76">
        <f>'03_Định giá'!$C$6+300</f>
        <v>2750</v>
      </c>
      <c r="B10" s="15">
        <f>MAX(0,(('03_Định giá'!$C$40*'03_Định giá'!$C$7+('03_Định giá'!$C$48-(B$5))*($A10)-'03_Định giá'!$C$42)*(1-'03_Định giá'!$C$10)*(1-'03_Định giá'!$C$36)*'03_Định giá'!$C$12+'03_Định giá'!$C$209*(1-'02_Giả định'!$B$26)+'03_Định giá'!$C$202)*1000/'01_Số liệu gốc'!$B$8)</f>
        <v>31661.751688973593</v>
      </c>
      <c r="C10" s="15">
        <f>MAX(0,(('03_Định giá'!$C$40*'03_Định giá'!$C$7+('03_Định giá'!$C$48-(C$5))*($A10)-'03_Định giá'!$C$42)*(1-'03_Định giá'!$C$10)*(1-'03_Định giá'!$C$36)*'03_Định giá'!$C$12+'03_Định giá'!$C$209*(1-'02_Giả định'!$B$26)+'03_Định giá'!$C$202)*1000/'01_Số liệu gốc'!$B$8)</f>
        <v>29450.45168897359</v>
      </c>
      <c r="D10" s="15">
        <f>MAX(0,(('03_Định giá'!$C$40*'03_Định giá'!$C$7+('03_Định giá'!$C$48-(D$5))*($A10)-'03_Định giá'!$C$42)*(1-'03_Định giá'!$C$10)*(1-'03_Định giá'!$C$36)*'03_Định giá'!$C$12+'03_Định giá'!$C$209*(1-'02_Giả định'!$B$26)+'03_Định giá'!$C$202)*1000/'01_Số liệu gốc'!$B$8)</f>
        <v>27239.151688973583</v>
      </c>
      <c r="E10" s="15">
        <f>MAX(0,(('03_Định giá'!$C$40*'03_Định giá'!$C$7+('03_Định giá'!$C$48-(E$5))*($A10)-'03_Định giá'!$C$42)*(1-'03_Định giá'!$C$10)*(1-'03_Định giá'!$C$36)*'03_Định giá'!$C$12+'03_Định giá'!$C$209*(1-'02_Giả định'!$B$26)+'03_Định giá'!$C$202)*1000/'01_Số liệu gốc'!$B$8)</f>
        <v>25027.851688973587</v>
      </c>
      <c r="F10" s="15">
        <f>MAX(0,(('03_Định giá'!$C$40*'03_Định giá'!$C$7+('03_Định giá'!$C$48-(F$5))*($A10)-'03_Định giá'!$C$42)*(1-'03_Định giá'!$C$10)*(1-'03_Định giá'!$C$36)*'03_Định giá'!$C$12+'03_Định giá'!$C$209*(1-'02_Giả định'!$B$26)+'03_Định giá'!$C$202)*1000/'01_Số liệu gốc'!$B$8)</f>
        <v>22816.551688973585</v>
      </c>
    </row>
    <row r="11" spans="1:7" ht="27.9" customHeight="1" x14ac:dyDescent="0.3">
      <c r="A11" s="91" t="s">
        <v>571</v>
      </c>
      <c r="B11" s="90"/>
      <c r="C11" s="90"/>
      <c r="D11" s="90"/>
      <c r="E11" s="90"/>
      <c r="F11" s="90"/>
      <c r="G11" s="90"/>
    </row>
    <row r="13" spans="1:7" x14ac:dyDescent="0.3">
      <c r="A13" s="11" t="s">
        <v>572</v>
      </c>
      <c r="B13" s="12"/>
      <c r="C13" s="12"/>
      <c r="D13" s="12"/>
      <c r="E13" s="12"/>
      <c r="F13" s="12"/>
      <c r="G13" s="12"/>
    </row>
    <row r="14" spans="1:7" x14ac:dyDescent="0.3">
      <c r="A14" s="51" t="s">
        <v>570</v>
      </c>
      <c r="B14" s="77">
        <f>'03_Định giá'!$C$22-1000</f>
        <v>9500</v>
      </c>
      <c r="C14" s="77">
        <f>'03_Định giá'!$C$22-500</f>
        <v>10000</v>
      </c>
      <c r="D14" s="77">
        <f>'03_Định giá'!$C$22+0</f>
        <v>10500</v>
      </c>
      <c r="E14" s="77">
        <f>'03_Định giá'!$C$22+500</f>
        <v>11000</v>
      </c>
      <c r="F14" s="77">
        <f>'03_Định giá'!$C$22+1000</f>
        <v>11500</v>
      </c>
    </row>
    <row r="15" spans="1:7" x14ac:dyDescent="0.3">
      <c r="A15" s="77">
        <f>'03_Định giá'!$C$21-2000</f>
        <v>12500</v>
      </c>
      <c r="B15" s="15">
        <f>('03_Định giá'!$C$202+'03_Định giá'!$C$19*((($A15)-'03_Định giá'!$C$21)*(1+'03_Định giá'!$C$23)-((B$14)-'03_Định giá'!$C$22))/1000*'03_Định giá'!$C$204)*1000/'01_Số liệu gốc'!$B$8</f>
        <v>-4634.7277743496934</v>
      </c>
      <c r="C15" s="15">
        <f>('03_Định giá'!$C$202+'03_Định giá'!$C$19*((($A15)-'03_Định giá'!$C$21)*(1+'03_Định giá'!$C$23)-((C$14)-'03_Định giá'!$C$22))/1000*'03_Định giá'!$C$204)*1000/'01_Số liệu gốc'!$B$8</f>
        <v>-5221.8108419161117</v>
      </c>
      <c r="D15" s="15">
        <f>('03_Định giá'!$C$202+'03_Định giá'!$C$19*((($A15)-'03_Định giá'!$C$21)*(1+'03_Định giá'!$C$23)-((D$14)-'03_Định giá'!$C$22))/1000*'03_Định giá'!$C$204)*1000/'01_Số liệu gốc'!$B$8</f>
        <v>-5808.89390948253</v>
      </c>
      <c r="E15" s="15">
        <f>('03_Định giá'!$C$202+'03_Định giá'!$C$19*((($A15)-'03_Định giá'!$C$21)*(1+'03_Định giá'!$C$23)-((E$14)-'03_Định giá'!$C$22))/1000*'03_Định giá'!$C$204)*1000/'01_Số liệu gốc'!$B$8</f>
        <v>-6395.9769770489474</v>
      </c>
      <c r="F15" s="15">
        <f>('03_Định giá'!$C$202+'03_Định giá'!$C$19*((($A15)-'03_Định giá'!$C$21)*(1+'03_Định giá'!$C$23)-((F$14)-'03_Định giá'!$C$22))/1000*'03_Định giá'!$C$204)*1000/'01_Số liệu gốc'!$B$8</f>
        <v>-6983.0600446153667</v>
      </c>
    </row>
    <row r="16" spans="1:7" x14ac:dyDescent="0.3">
      <c r="A16" s="77">
        <f>'03_Định giá'!$C$21-1000</f>
        <v>13500</v>
      </c>
      <c r="B16" s="15">
        <f>('03_Định giá'!$C$202+'03_Định giá'!$C$19*((($A16)-'03_Định giá'!$C$21)*(1+'03_Định giá'!$C$23)-((B$14)-'03_Định giá'!$C$22))/1000*'03_Định giá'!$C$204)*1000/'01_Số liệu gốc'!$B$8</f>
        <v>-3401.8533324602154</v>
      </c>
      <c r="C16" s="15">
        <f>('03_Định giá'!$C$202+'03_Định giá'!$C$19*((($A16)-'03_Định giá'!$C$21)*(1+'03_Định giá'!$C$23)-((C$14)-'03_Định giá'!$C$22))/1000*'03_Định giá'!$C$204)*1000/'01_Số liệu gốc'!$B$8</f>
        <v>-3988.9364000266332</v>
      </c>
      <c r="D16" s="15">
        <f>('03_Định giá'!$C$202+'03_Định giá'!$C$19*((($A16)-'03_Định giá'!$C$21)*(1+'03_Định giá'!$C$23)-((D$14)-'03_Định giá'!$C$22))/1000*'03_Định giá'!$C$204)*1000/'01_Số liệu gốc'!$B$8</f>
        <v>-4576.0194675930516</v>
      </c>
      <c r="E16" s="15">
        <f>('03_Định giá'!$C$202+'03_Định giá'!$C$19*((($A16)-'03_Định giá'!$C$21)*(1+'03_Định giá'!$C$23)-((E$14)-'03_Định giá'!$C$22))/1000*'03_Định giá'!$C$204)*1000/'01_Số liệu gốc'!$B$8</f>
        <v>-5163.1025351594699</v>
      </c>
      <c r="F16" s="15">
        <f>('03_Định giá'!$C$202+'03_Định giá'!$C$19*((($A16)-'03_Định giá'!$C$21)*(1+'03_Định giá'!$C$23)-((F$14)-'03_Định giá'!$C$22))/1000*'03_Định giá'!$C$204)*1000/'01_Số liệu gốc'!$B$8</f>
        <v>-5750.1856027258882</v>
      </c>
    </row>
    <row r="17" spans="1:7" x14ac:dyDescent="0.3">
      <c r="A17" s="77">
        <f>'03_Định giá'!$C$21+0</f>
        <v>14500</v>
      </c>
      <c r="B17" s="15">
        <f>('03_Định giá'!$C$202+'03_Định giá'!$C$19*((($A17)-'03_Định giá'!$C$21)*(1+'03_Định giá'!$C$23)-((B$14)-'03_Định giá'!$C$22))/1000*'03_Định giá'!$C$204)*1000/'01_Số liệu gốc'!$B$8</f>
        <v>-2168.9788905707369</v>
      </c>
      <c r="C17" s="15">
        <f>('03_Định giá'!$C$202+'03_Định giá'!$C$19*((($A17)-'03_Định giá'!$C$21)*(1+'03_Định giá'!$C$23)-((C$14)-'03_Định giá'!$C$22))/1000*'03_Định giá'!$C$204)*1000/'01_Số liệu gốc'!$B$8</f>
        <v>-2756.0619581371552</v>
      </c>
      <c r="D17" s="42">
        <f>('03_Định giá'!$C$202+'03_Định giá'!$C$19*((($A17)-'03_Định giá'!$C$21)*(1+'03_Định giá'!$C$23)-((D$14)-'03_Định giá'!$C$22))/1000*'03_Định giá'!$C$204)*1000/'01_Số liệu gốc'!$B$8</f>
        <v>-3343.1450257035735</v>
      </c>
      <c r="E17" s="15">
        <f>('03_Định giá'!$C$202+'03_Định giá'!$C$19*((($A17)-'03_Định giá'!$C$21)*(1+'03_Định giá'!$C$23)-((E$14)-'03_Định giá'!$C$22))/1000*'03_Định giá'!$C$204)*1000/'01_Số liệu gốc'!$B$8</f>
        <v>-3930.2280932699919</v>
      </c>
      <c r="F17" s="15">
        <f>('03_Định giá'!$C$202+'03_Định giá'!$C$19*((($A17)-'03_Định giá'!$C$21)*(1+'03_Định giá'!$C$23)-((F$14)-'03_Định giá'!$C$22))/1000*'03_Định giá'!$C$204)*1000/'01_Số liệu gốc'!$B$8</f>
        <v>-4517.3111608364097</v>
      </c>
    </row>
    <row r="18" spans="1:7" x14ac:dyDescent="0.3">
      <c r="A18" s="77">
        <f>'03_Định giá'!$C$21+1000</f>
        <v>15500</v>
      </c>
      <c r="B18" s="15">
        <f>('03_Định giá'!$C$202+'03_Định giá'!$C$19*((($A18)-'03_Định giá'!$C$21)*(1+'03_Định giá'!$C$23)-((B$14)-'03_Định giá'!$C$22))/1000*'03_Định giá'!$C$204)*1000/'01_Số liệu gốc'!$B$8</f>
        <v>-936.10444868125921</v>
      </c>
      <c r="C18" s="15">
        <f>('03_Định giá'!$C$202+'03_Định giá'!$C$19*((($A18)-'03_Định giá'!$C$21)*(1+'03_Định giá'!$C$23)-((C$14)-'03_Định giá'!$C$22))/1000*'03_Định giá'!$C$204)*1000/'01_Số liệu gốc'!$B$8</f>
        <v>-1523.1875162476772</v>
      </c>
      <c r="D18" s="15">
        <f>('03_Định giá'!$C$202+'03_Định giá'!$C$19*((($A18)-'03_Định giá'!$C$21)*(1+'03_Định giá'!$C$23)-((D$14)-'03_Định giá'!$C$22))/1000*'03_Định giá'!$C$204)*1000/'01_Số liệu gốc'!$B$8</f>
        <v>-2110.2705838140951</v>
      </c>
      <c r="E18" s="15">
        <f>('03_Định giá'!$C$202+'03_Định giá'!$C$19*((($A18)-'03_Định giá'!$C$21)*(1+'03_Định giá'!$C$23)-((E$14)-'03_Định giá'!$C$22))/1000*'03_Định giá'!$C$204)*1000/'01_Số liệu gốc'!$B$8</f>
        <v>-2697.3536513805134</v>
      </c>
      <c r="F18" s="15">
        <f>('03_Định giá'!$C$202+'03_Định giá'!$C$19*((($A18)-'03_Định giá'!$C$21)*(1+'03_Định giá'!$C$23)-((F$14)-'03_Định giá'!$C$22))/1000*'03_Định giá'!$C$204)*1000/'01_Số liệu gốc'!$B$8</f>
        <v>-3284.4367189469313</v>
      </c>
    </row>
    <row r="19" spans="1:7" x14ac:dyDescent="0.3">
      <c r="A19" s="77">
        <f>'03_Định giá'!$C$21+2000</f>
        <v>16500</v>
      </c>
      <c r="B19" s="15">
        <f>('03_Định giá'!$C$202+'03_Định giá'!$C$19*((($A19)-'03_Định giá'!$C$21)*(1+'03_Định giá'!$C$23)-((B$14)-'03_Định giá'!$C$22))/1000*'03_Định giá'!$C$204)*1000/'01_Số liệu gốc'!$B$8</f>
        <v>296.76999320821915</v>
      </c>
      <c r="C19" s="15">
        <f>('03_Định giá'!$C$202+'03_Định giá'!$C$19*((($A19)-'03_Định giá'!$C$21)*(1+'03_Định giá'!$C$23)-((C$14)-'03_Định giá'!$C$22))/1000*'03_Định giá'!$C$204)*1000/'01_Số liệu gốc'!$B$8</f>
        <v>-290.31307435819929</v>
      </c>
      <c r="D19" s="15">
        <f>('03_Định giá'!$C$202+'03_Định giá'!$C$19*((($A19)-'03_Định giá'!$C$21)*(1+'03_Định giá'!$C$23)-((D$14)-'03_Định giá'!$C$22))/1000*'03_Định giá'!$C$204)*1000/'01_Số liệu gốc'!$B$8</f>
        <v>-877.39614192461727</v>
      </c>
      <c r="E19" s="15">
        <f>('03_Định giá'!$C$202+'03_Định giá'!$C$19*((($A19)-'03_Định giá'!$C$21)*(1+'03_Định giá'!$C$23)-((E$14)-'03_Định giá'!$C$22))/1000*'03_Định giá'!$C$204)*1000/'01_Số liệu gốc'!$B$8</f>
        <v>-1464.4792094910354</v>
      </c>
      <c r="F19" s="15">
        <f>('03_Định giá'!$C$202+'03_Định giá'!$C$19*((($A19)-'03_Định giá'!$C$21)*(1+'03_Định giá'!$C$23)-((F$14)-'03_Định giá'!$C$22))/1000*'03_Định giá'!$C$204)*1000/'01_Số liệu gốc'!$B$8</f>
        <v>-2051.5622770574537</v>
      </c>
    </row>
    <row r="20" spans="1:7" x14ac:dyDescent="0.3">
      <c r="A20" s="91" t="s">
        <v>573</v>
      </c>
      <c r="B20" s="90"/>
      <c r="C20" s="90"/>
      <c r="D20" s="90"/>
      <c r="E20" s="90"/>
      <c r="F20" s="90"/>
      <c r="G20" s="90"/>
    </row>
    <row r="22" spans="1:7" x14ac:dyDescent="0.3">
      <c r="A22" s="11" t="s">
        <v>574</v>
      </c>
      <c r="B22" s="12"/>
      <c r="C22" s="12"/>
      <c r="D22" s="12"/>
      <c r="E22" s="12"/>
      <c r="F22" s="12"/>
      <c r="G22" s="12"/>
    </row>
    <row r="23" spans="1:7" x14ac:dyDescent="0.3">
      <c r="A23" s="51" t="s">
        <v>570</v>
      </c>
      <c r="B23" s="75">
        <f>'03_Định giá'!$C$44-0.02</f>
        <v>9.2239999999999989E-2</v>
      </c>
      <c r="C23" s="75">
        <f>'03_Định giá'!$C$44-0.01</f>
        <v>0.10224</v>
      </c>
      <c r="D23" s="75">
        <f>'03_Định giá'!$C$44+0</f>
        <v>0.11223999999999999</v>
      </c>
      <c r="E23" s="75">
        <f>'03_Định giá'!$C$44+0.01</f>
        <v>0.12223999999999999</v>
      </c>
      <c r="F23" s="75">
        <f>'03_Định giá'!$C$44+0.02</f>
        <v>0.13224</v>
      </c>
    </row>
    <row r="24" spans="1:7" x14ac:dyDescent="0.3">
      <c r="A24" s="75">
        <f>'03_Định giá'!$C$14-0.03</f>
        <v>8.5000000000000006E-2</v>
      </c>
      <c r="B24" s="15">
        <f>MAX(0,(($A24)*(1-'03_Định giá'!$C$36)-'03_Định giá'!$C$35)/((B$23)-'03_Định giá'!$C$35)*'01_Số liệu gốc'!$C$73)</f>
        <v>15764.582627366213</v>
      </c>
      <c r="C24" s="15">
        <f>MAX(0,(($A24)*(1-'03_Định giá'!$C$36)-'03_Định giá'!$C$35)/((C$23)-'03_Định giá'!$C$35)*'01_Số liệu gốc'!$C$73)</f>
        <v>13582.331433101785</v>
      </c>
      <c r="D24" s="15">
        <f>MAX(0,(($A24)*(1-'03_Định giá'!$C$36)-'03_Định giá'!$C$35)/((D$23)-'03_Định giá'!$C$35)*'01_Số liệu gốc'!$C$73)</f>
        <v>11930.783350282989</v>
      </c>
      <c r="E24" s="15">
        <f>MAX(0,(($A24)*(1-'03_Định giá'!$C$36)-'03_Định giá'!$C$35)/((E$23)-'03_Định giá'!$C$35)*'01_Số liệu gốc'!$C$73)</f>
        <v>10637.333290625251</v>
      </c>
      <c r="F24" s="15">
        <f>MAX(0,(($A24)*(1-'03_Định giá'!$C$36)-'03_Định giá'!$C$35)/((F$23)-'03_Định giá'!$C$35)*'01_Số liệu gốc'!$C$73)</f>
        <v>9596.9055431071301</v>
      </c>
    </row>
    <row r="25" spans="1:7" x14ac:dyDescent="0.3">
      <c r="A25" s="75">
        <f>'03_Định giá'!$C$14-0.015</f>
        <v>0.1</v>
      </c>
      <c r="B25" s="15">
        <f>MAX(0,(($A25)*(1-'03_Định giá'!$C$36)-'03_Định giá'!$C$35)/((B$23)-'03_Định giá'!$C$35)*'01_Số liệu gốc'!$C$73)</f>
        <v>20341.396938537047</v>
      </c>
      <c r="C25" s="15">
        <f>MAX(0,(($A25)*(1-'03_Định giá'!$C$36)-'03_Định giá'!$C$35)/((C$23)-'03_Định giá'!$C$35)*'01_Số liệu gốc'!$C$73)</f>
        <v>17525.588945937787</v>
      </c>
      <c r="D25" s="15">
        <f>MAX(0,(($A25)*(1-'03_Định giá'!$C$36)-'03_Định giá'!$C$35)/((D$23)-'03_Định giá'!$C$35)*'01_Số liệu gốc'!$C$73)</f>
        <v>15394.559161655468</v>
      </c>
      <c r="E25" s="15">
        <f>MAX(0,(($A25)*(1-'03_Định giá'!$C$36)-'03_Định giá'!$C$35)/((E$23)-'03_Định giá'!$C$35)*'01_Số liệu gốc'!$C$73)</f>
        <v>13725.591342742258</v>
      </c>
      <c r="F25" s="15">
        <f>MAX(0,(($A25)*(1-'03_Định giá'!$C$36)-'03_Định giá'!$C$35)/((F$23)-'03_Định giá'!$C$35)*'01_Số liệu gốc'!$C$73)</f>
        <v>12383.103926589845</v>
      </c>
    </row>
    <row r="26" spans="1:7" x14ac:dyDescent="0.3">
      <c r="A26" s="75">
        <f>'03_Định giá'!$C$14+0</f>
        <v>0.115</v>
      </c>
      <c r="B26" s="15">
        <f>MAX(0,(($A26)*(1-'03_Định giá'!$C$36)-'03_Định giá'!$C$35)/((B$23)-'03_Định giá'!$C$35)*'01_Số liệu gốc'!$C$73)</f>
        <v>24918.211249707878</v>
      </c>
      <c r="C26" s="15">
        <f>MAX(0,(($A26)*(1-'03_Định giá'!$C$36)-'03_Định giá'!$C$35)/((C$23)-'03_Định giá'!$C$35)*'01_Số liệu gốc'!$C$73)</f>
        <v>21468.846458773787</v>
      </c>
      <c r="D26" s="42">
        <f>MAX(0,(($A26)*(1-'03_Định giá'!$C$36)-'03_Định giá'!$C$35)/((D$23)-'03_Định giá'!$C$35)*'01_Số liệu gốc'!$C$73)</f>
        <v>18858.334973027948</v>
      </c>
      <c r="E26" s="15">
        <f>MAX(0,(($A26)*(1-'03_Định giá'!$C$36)-'03_Định giá'!$C$35)/((E$23)-'03_Định giá'!$C$35)*'01_Số liệu gốc'!$C$73)</f>
        <v>16813.849394859262</v>
      </c>
      <c r="F26" s="15">
        <f>MAX(0,(($A26)*(1-'03_Định giá'!$C$36)-'03_Định giá'!$C$35)/((F$23)-'03_Định giá'!$C$35)*'01_Số liệu gốc'!$C$73)</f>
        <v>15169.302310072559</v>
      </c>
    </row>
    <row r="27" spans="1:7" x14ac:dyDescent="0.3">
      <c r="A27" s="75">
        <f>'03_Định giá'!$C$14+0.015</f>
        <v>0.13</v>
      </c>
      <c r="B27" s="15">
        <f>MAX(0,(($A27)*(1-'03_Định giá'!$C$36)-'03_Định giá'!$C$35)/((B$23)-'03_Định giá'!$C$35)*'01_Số liệu gốc'!$C$73)</f>
        <v>29495.025560878716</v>
      </c>
      <c r="C27" s="15">
        <f>MAX(0,(($A27)*(1-'03_Định giá'!$C$36)-'03_Định giá'!$C$35)/((C$23)-'03_Định giá'!$C$35)*'01_Số liệu gốc'!$C$73)</f>
        <v>25412.103971609788</v>
      </c>
      <c r="D27" s="15">
        <f>MAX(0,(($A27)*(1-'03_Định giá'!$C$36)-'03_Định giá'!$C$35)/((D$23)-'03_Định giá'!$C$35)*'01_Số liệu gốc'!$C$73)</f>
        <v>22322.110784400429</v>
      </c>
      <c r="E27" s="15">
        <f>MAX(0,(($A27)*(1-'03_Định giá'!$C$36)-'03_Định giá'!$C$35)/((E$23)-'03_Định giá'!$C$35)*'01_Số liệu gốc'!$C$73)</f>
        <v>19902.107446976268</v>
      </c>
      <c r="F27" s="15">
        <f>MAX(0,(($A27)*(1-'03_Định giá'!$C$36)-'03_Định giá'!$C$35)/((F$23)-'03_Định giá'!$C$35)*'01_Số liệu gốc'!$C$73)</f>
        <v>17955.500693555274</v>
      </c>
    </row>
    <row r="28" spans="1:7" x14ac:dyDescent="0.3">
      <c r="A28" s="75">
        <f>'03_Định giá'!$C$14+0.03</f>
        <v>0.14500000000000002</v>
      </c>
      <c r="B28" s="15">
        <f>MAX(0,(($A28)*(1-'03_Định giá'!$C$36)-'03_Định giá'!$C$35)/((B$23)-'03_Định giá'!$C$35)*'01_Số liệu gốc'!$C$73)</f>
        <v>34071.839872049561</v>
      </c>
      <c r="C28" s="15">
        <f>MAX(0,(($A28)*(1-'03_Định giá'!$C$36)-'03_Định giá'!$C$35)/((C$23)-'03_Định giá'!$C$35)*'01_Số liệu gốc'!$C$73)</f>
        <v>29355.361484445795</v>
      </c>
      <c r="D28" s="15">
        <f>MAX(0,(($A28)*(1-'03_Định giá'!$C$36)-'03_Định giá'!$C$35)/((D$23)-'03_Định giá'!$C$35)*'01_Số liệu gốc'!$C$73)</f>
        <v>25785.886595772914</v>
      </c>
      <c r="E28" s="15">
        <f>MAX(0,(($A28)*(1-'03_Định giá'!$C$36)-'03_Định giá'!$C$35)/((E$23)-'03_Định giá'!$C$35)*'01_Số liệu gốc'!$C$73)</f>
        <v>22990.365499093285</v>
      </c>
      <c r="F28" s="15">
        <f>MAX(0,(($A28)*(1-'03_Định giá'!$C$36)-'03_Định giá'!$C$35)/((F$23)-'03_Định giá'!$C$35)*'01_Số liệu gốc'!$C$73)</f>
        <v>20741.699077037993</v>
      </c>
    </row>
    <row r="29" spans="1:7" x14ac:dyDescent="0.3">
      <c r="A29" s="91" t="s">
        <v>575</v>
      </c>
      <c r="B29" s="90"/>
      <c r="C29" s="90"/>
      <c r="D29" s="90"/>
      <c r="E29" s="90"/>
      <c r="F29" s="90"/>
      <c r="G29" s="90"/>
    </row>
    <row r="31" spans="1:7" x14ac:dyDescent="0.3">
      <c r="A31" s="11" t="s">
        <v>826</v>
      </c>
      <c r="B31" s="12"/>
      <c r="C31" s="12"/>
      <c r="D31" s="12"/>
      <c r="E31" s="12"/>
      <c r="F31" s="12"/>
      <c r="G31" s="12"/>
    </row>
    <row r="32" spans="1:7" x14ac:dyDescent="0.3">
      <c r="A32" s="13" t="s">
        <v>576</v>
      </c>
      <c r="B32" s="13" t="s">
        <v>577</v>
      </c>
      <c r="C32" s="13" t="s">
        <v>827</v>
      </c>
      <c r="D32" s="13" t="s">
        <v>578</v>
      </c>
      <c r="E32" s="13" t="s">
        <v>579</v>
      </c>
      <c r="F32" s="13" t="s">
        <v>580</v>
      </c>
      <c r="G32" s="13" t="s">
        <v>581</v>
      </c>
    </row>
    <row r="33" spans="1:7" x14ac:dyDescent="0.3">
      <c r="A33" s="14" t="s">
        <v>582</v>
      </c>
      <c r="C33" s="78">
        <f>'03_Định giá'!$H$250</f>
        <v>25471.704682489966</v>
      </c>
      <c r="D33" s="15">
        <f>C33-'03_Định giá'!$C$250</f>
        <v>0</v>
      </c>
      <c r="E33" s="19">
        <f>C33/'03_Định giá'!$C$250-1</f>
        <v>0</v>
      </c>
      <c r="F33" s="14" t="s">
        <v>583</v>
      </c>
      <c r="G33" s="17" t="s">
        <v>584</v>
      </c>
    </row>
    <row r="34" spans="1:7" x14ac:dyDescent="0.3">
      <c r="A34" s="14" t="s">
        <v>585</v>
      </c>
      <c r="B34" s="79">
        <f>'03_Định giá'!$I$27</f>
        <v>0</v>
      </c>
      <c r="C34" s="78">
        <f>'03_Định giá'!$I$250</f>
        <v>28382.147079419145</v>
      </c>
      <c r="D34" s="15">
        <f>C34-'03_Định giá'!$C$250</f>
        <v>2910.4423969291784</v>
      </c>
      <c r="E34" s="19">
        <f>C34/'03_Định giá'!$C$250-1</f>
        <v>0.11426178315147895</v>
      </c>
      <c r="F34" s="14" t="s">
        <v>586</v>
      </c>
      <c r="G34" s="17" t="s">
        <v>587</v>
      </c>
    </row>
    <row r="35" spans="1:7" x14ac:dyDescent="0.3">
      <c r="A35" s="14" t="s">
        <v>588</v>
      </c>
      <c r="B35" s="79">
        <f>'03_Định giá'!$J$29</f>
        <v>2028</v>
      </c>
      <c r="C35" s="78">
        <f>'03_Định giá'!$J$250</f>
        <v>25103.26107042926</v>
      </c>
      <c r="D35" s="15">
        <f>C35-'03_Định giá'!$C$250</f>
        <v>-368.44361206070607</v>
      </c>
      <c r="E35" s="19">
        <f>C35/'03_Định giá'!$C$250-1</f>
        <v>-1.446481955775758E-2</v>
      </c>
      <c r="F35" s="14" t="s">
        <v>589</v>
      </c>
      <c r="G35" s="17" t="s">
        <v>590</v>
      </c>
    </row>
    <row r="36" spans="1:7" x14ac:dyDescent="0.3">
      <c r="A36" s="14" t="s">
        <v>591</v>
      </c>
      <c r="B36" s="55">
        <f>'03_Định giá'!$K$21</f>
        <v>13000</v>
      </c>
      <c r="C36" s="78">
        <f>'03_Định giá'!$K$250</f>
        <v>23622.393019655745</v>
      </c>
      <c r="D36" s="15">
        <f>C36-'03_Định giá'!$C$250</f>
        <v>-1849.3116628342214</v>
      </c>
      <c r="E36" s="19">
        <f>C36/'03_Định giá'!$C$250-1</f>
        <v>-7.260258729779856E-2</v>
      </c>
      <c r="F36" s="14" t="s">
        <v>592</v>
      </c>
      <c r="G36" s="17" t="s">
        <v>593</v>
      </c>
    </row>
    <row r="37" spans="1:7" x14ac:dyDescent="0.3">
      <c r="A37" s="14" t="s">
        <v>594</v>
      </c>
      <c r="B37" s="55">
        <f>'03_Định giá'!$L$22</f>
        <v>11500</v>
      </c>
      <c r="C37" s="78">
        <f>'03_Định giá'!$L$250</f>
        <v>24297.53854735713</v>
      </c>
      <c r="D37" s="15">
        <f>C37-'03_Định giá'!$C$250</f>
        <v>-1174.1661351328366</v>
      </c>
      <c r="E37" s="19">
        <f>C37/'03_Định giá'!$C$250-1</f>
        <v>-4.6096880823998987E-2</v>
      </c>
      <c r="F37" s="14" t="s">
        <v>595</v>
      </c>
      <c r="G37" s="17"/>
    </row>
    <row r="38" spans="1:7" x14ac:dyDescent="0.3">
      <c r="A38" s="14" t="s">
        <v>596</v>
      </c>
      <c r="B38" s="50">
        <f>'03_Định giá'!$M$32</f>
        <v>0.1</v>
      </c>
      <c r="C38" s="78">
        <f>'03_Định giá'!$M$250</f>
        <v>24084.528623053102</v>
      </c>
      <c r="D38" s="15">
        <f>C38-'03_Định giá'!$C$250</f>
        <v>-1387.1760594368643</v>
      </c>
      <c r="E38" s="19">
        <f>C38/'03_Định giá'!$C$250-1</f>
        <v>-5.4459490510285757E-2</v>
      </c>
      <c r="F38" s="14" t="s">
        <v>597</v>
      </c>
      <c r="G38" s="17" t="s">
        <v>598</v>
      </c>
    </row>
    <row r="39" spans="1:7" x14ac:dyDescent="0.3">
      <c r="A39" s="14" t="s">
        <v>599</v>
      </c>
      <c r="B39" s="80">
        <f>'03_Định giá'!$N$33</f>
        <v>0.85</v>
      </c>
      <c r="C39" s="78">
        <f>'03_Định giá'!$N$250</f>
        <v>23277.736418241799</v>
      </c>
      <c r="D39" s="15">
        <f>C39-'03_Định giá'!$C$250</f>
        <v>-2193.9682642481675</v>
      </c>
      <c r="E39" s="19">
        <f>C39/'03_Định giá'!$C$250-1</f>
        <v>-8.6133546678419548E-2</v>
      </c>
      <c r="F39" s="14" t="s">
        <v>600</v>
      </c>
      <c r="G39" s="17" t="s">
        <v>601</v>
      </c>
    </row>
    <row r="40" spans="1:7" x14ac:dyDescent="0.3">
      <c r="A40" s="14" t="s">
        <v>602</v>
      </c>
      <c r="B40" s="55">
        <f>'03_Định giá'!$O$15</f>
        <v>1000</v>
      </c>
      <c r="C40" s="78">
        <f>'03_Định giá'!$O$250</f>
        <v>25471.704682489966</v>
      </c>
      <c r="D40" s="15">
        <f>C40-'03_Định giá'!$C$250</f>
        <v>0</v>
      </c>
      <c r="E40" s="19">
        <f>C40/'03_Định giá'!$C$250-1</f>
        <v>0</v>
      </c>
      <c r="F40" s="14" t="s">
        <v>603</v>
      </c>
      <c r="G40" s="17" t="s">
        <v>851</v>
      </c>
    </row>
    <row r="41" spans="1:7" x14ac:dyDescent="0.3">
      <c r="A41" s="14" t="s">
        <v>604</v>
      </c>
      <c r="B41" s="49">
        <f>'03_Định giá'!$P$6</f>
        <v>2166.7860000000001</v>
      </c>
      <c r="C41" s="78">
        <f>'03_Định giá'!$P$250</f>
        <v>23485.524938886163</v>
      </c>
      <c r="D41" s="15">
        <f>C41-'03_Định giá'!$C$250</f>
        <v>-1986.1797436038032</v>
      </c>
      <c r="E41" s="19">
        <f>C41/'03_Định giá'!$C$250-1</f>
        <v>-7.7975925379237143E-2</v>
      </c>
      <c r="F41" s="14" t="s">
        <v>605</v>
      </c>
      <c r="G41" s="17" t="s">
        <v>606</v>
      </c>
    </row>
    <row r="42" spans="1:7" x14ac:dyDescent="0.3">
      <c r="A42" s="14" t="s">
        <v>607</v>
      </c>
      <c r="B42" s="49">
        <f>'03_Định giá'!$Q$6</f>
        <v>2710.1229999999996</v>
      </c>
      <c r="C42" s="78">
        <f>'03_Định giá'!$Q$250</f>
        <v>27295.947246224299</v>
      </c>
      <c r="D42" s="15">
        <f>C42-'03_Định giá'!$C$250</f>
        <v>1824.2425637343331</v>
      </c>
      <c r="E42" s="19">
        <f>C42/'03_Định giá'!$C$250-1</f>
        <v>7.1618393290668658E-2</v>
      </c>
      <c r="F42" s="14" t="s">
        <v>608</v>
      </c>
      <c r="G42" s="17" t="s">
        <v>609</v>
      </c>
    </row>
    <row r="43" spans="1:7" x14ac:dyDescent="0.3">
      <c r="A43" s="14" t="s">
        <v>610</v>
      </c>
      <c r="B43" s="50">
        <f>'03_Định giá'!$R$9</f>
        <v>0.27366485883852304</v>
      </c>
      <c r="C43" s="78">
        <f>'03_Định giá'!$R$250</f>
        <v>24658.815300809038</v>
      </c>
      <c r="D43" s="15">
        <f>C43-'03_Định giá'!$C$250</f>
        <v>-812.88938168092864</v>
      </c>
      <c r="E43" s="19">
        <f>C43/'03_Định giá'!$C$250-1</f>
        <v>-3.1913426753873098E-2</v>
      </c>
      <c r="F43" s="14" t="s">
        <v>611</v>
      </c>
      <c r="G43" s="17"/>
    </row>
    <row r="44" spans="1:7" x14ac:dyDescent="0.3">
      <c r="A44" s="14" t="s">
        <v>884</v>
      </c>
      <c r="B44" s="54">
        <f>'03_Định giá'!$S$12</f>
        <v>10</v>
      </c>
      <c r="C44" s="78">
        <f>'03_Định giá'!$S$250</f>
        <v>25471.704682489966</v>
      </c>
      <c r="D44" s="15">
        <f>C44-'03_Định giá'!$C$250</f>
        <v>0</v>
      </c>
      <c r="E44" s="19">
        <f>C44/'03_Định giá'!$C$250-1</f>
        <v>0</v>
      </c>
      <c r="F44" s="14" t="s">
        <v>612</v>
      </c>
      <c r="G44" s="17" t="s">
        <v>885</v>
      </c>
    </row>
    <row r="45" spans="1:7" x14ac:dyDescent="0.3">
      <c r="A45" s="14" t="s">
        <v>613</v>
      </c>
      <c r="B45" s="54">
        <f>'03_Định giá'!$T$12</f>
        <v>13.89</v>
      </c>
      <c r="C45" s="78">
        <f>'03_Định giá'!$T$250</f>
        <v>25471.704682489966</v>
      </c>
      <c r="D45" s="15">
        <f>C45-'03_Định giá'!$C$250</f>
        <v>0</v>
      </c>
      <c r="E45" s="19">
        <f>C45/'03_Định giá'!$C$250-1</f>
        <v>0</v>
      </c>
      <c r="F45" s="14" t="s">
        <v>614</v>
      </c>
      <c r="G45" s="17" t="s">
        <v>852</v>
      </c>
    </row>
    <row r="46" spans="1:7" x14ac:dyDescent="0.3">
      <c r="A46" s="14" t="s">
        <v>615</v>
      </c>
      <c r="B46" s="50">
        <f>'03_Định giá'!$U$8</f>
        <v>6.3439954856783776E-3</v>
      </c>
      <c r="C46" s="78">
        <f>'03_Định giá'!$U$250</f>
        <v>26878.843891654713</v>
      </c>
      <c r="D46" s="15">
        <f>C46-'03_Định giá'!$C$250</f>
        <v>1407.1392091647467</v>
      </c>
      <c r="E46" s="19">
        <f>C46/'03_Định giá'!$C$250-1</f>
        <v>5.5243228778953934E-2</v>
      </c>
      <c r="F46" s="14" t="s">
        <v>616</v>
      </c>
      <c r="G46" s="17" t="s">
        <v>617</v>
      </c>
    </row>
    <row r="47" spans="1:7" x14ac:dyDescent="0.3">
      <c r="A47" s="14" t="s">
        <v>618</v>
      </c>
      <c r="B47" s="80">
        <f>'03_Định giá'!$V$33</f>
        <v>0.65</v>
      </c>
      <c r="C47" s="78">
        <f>'03_Định giá'!$V$250</f>
        <v>26939.58743082533</v>
      </c>
      <c r="D47" s="15">
        <f>C47-'03_Định giá'!$C$250</f>
        <v>1467.8827483353634</v>
      </c>
      <c r="E47" s="19">
        <f>C47/'03_Định giá'!$C$250-1</f>
        <v>5.7627974516540004E-2</v>
      </c>
      <c r="F47" s="14" t="s">
        <v>68</v>
      </c>
      <c r="G47" s="17" t="s">
        <v>619</v>
      </c>
    </row>
    <row r="48" spans="1:7" x14ac:dyDescent="0.3">
      <c r="A48" s="14" t="s">
        <v>886</v>
      </c>
      <c r="B48" s="50">
        <f>'03_Định giá'!$W$40</f>
        <v>0.05</v>
      </c>
      <c r="C48" s="78">
        <f>'03_Định giá'!$W$250</f>
        <v>25915.771299517801</v>
      </c>
      <c r="D48" s="15">
        <f>C48-'03_Định giá'!$C$250</f>
        <v>444.06661702783458</v>
      </c>
      <c r="E48" s="19">
        <f>C48/'03_Định giá'!$C$250-1</f>
        <v>1.7433721950031122E-2</v>
      </c>
      <c r="F48" s="14" t="s">
        <v>812</v>
      </c>
      <c r="G48" s="17" t="s">
        <v>887</v>
      </c>
    </row>
    <row r="49" spans="1:7" x14ac:dyDescent="0.3">
      <c r="A49" s="14" t="s">
        <v>620</v>
      </c>
      <c r="C49" s="78">
        <f>AVERAGE('03_Định giá'!$C$215,'03_Định giá'!$C$233,'03_Định giá'!$C$242,'03_Định giá'!$C$224,'03_Định giá'!$C$220)</f>
        <v>23413.998908054677</v>
      </c>
      <c r="D49" s="15">
        <f>C49-'03_Định giá'!$C$250</f>
        <v>-2057.7057744352896</v>
      </c>
      <c r="E49" s="19">
        <f>C49/'03_Định giá'!$C$250-1</f>
        <v>-8.0783983643223478E-2</v>
      </c>
      <c r="G49" s="17"/>
    </row>
    <row r="50" spans="1:7" x14ac:dyDescent="0.3">
      <c r="A50" s="14" t="s">
        <v>621</v>
      </c>
      <c r="C50" s="78">
        <f>'03_Định giá'!$C$215</f>
        <v>25370.484576298069</v>
      </c>
      <c r="D50" s="15">
        <f>C50-'03_Định giá'!$C$250</f>
        <v>-101.22010619189678</v>
      </c>
      <c r="E50" s="19">
        <f>C50/'03_Định giá'!$C$250-1</f>
        <v>-3.9738253663673673E-3</v>
      </c>
      <c r="G50" s="17" t="s">
        <v>622</v>
      </c>
    </row>
    <row r="51" spans="1:7" x14ac:dyDescent="0.3">
      <c r="A51" s="14" t="s">
        <v>623</v>
      </c>
      <c r="C51" s="78">
        <f>'03_Định giá'!$C$242</f>
        <v>22128.462089490855</v>
      </c>
      <c r="D51" s="15">
        <f>C51-'03_Định giá'!$C$250</f>
        <v>-3343.2425929991114</v>
      </c>
      <c r="E51" s="19">
        <f>C51/'03_Định giá'!$C$250-1</f>
        <v>-0.13125319387427414</v>
      </c>
      <c r="G51" s="17" t="s">
        <v>624</v>
      </c>
    </row>
    <row r="52" spans="1:7" x14ac:dyDescent="0.3">
      <c r="A52" s="14" t="s">
        <v>828</v>
      </c>
      <c r="C52" s="78">
        <f>0.3*'03_Định giá'!$C$215+0.25*'03_Định giá'!$C$233+0.2*'03_Định giá'!$C$242+0.15*'03_Định giá'!$C$224+0.1*'03_Định giá'!$C$220+(0.3+0.25+0.1)*'02_Giả định'!$B$26*'03_Định giá'!$C$210</f>
        <v>24584.023256533663</v>
      </c>
      <c r="D52" s="15">
        <f>C52-'03_Định giá'!$C$250</f>
        <v>-887.68142595630343</v>
      </c>
      <c r="E52" s="19">
        <f>C52/'03_Định giá'!$C$250-1</f>
        <v>-3.4849706253328394E-2</v>
      </c>
      <c r="G52" s="17" t="s">
        <v>829</v>
      </c>
    </row>
    <row r="53" spans="1:7" x14ac:dyDescent="0.3">
      <c r="A53" s="14" t="s">
        <v>830</v>
      </c>
      <c r="C53" s="78">
        <f>'03_Định giá'!$C$233+'02_Giả định'!$B$26*'03_Định giá'!$C$210</f>
        <v>26743.10195521724</v>
      </c>
      <c r="D53" s="15">
        <f>C53-'03_Định giá'!$C$250</f>
        <v>1271.397272727274</v>
      </c>
      <c r="E53" s="19">
        <f>C53/'03_Định giá'!$C$250-1</f>
        <v>4.9914102278410644E-2</v>
      </c>
      <c r="G53" s="17" t="s">
        <v>831</v>
      </c>
    </row>
    <row r="54" spans="1:7" x14ac:dyDescent="0.3">
      <c r="A54" s="14" t="s">
        <v>832</v>
      </c>
      <c r="C54" s="78">
        <f>'03_Định giá'!$C$233-(0.2-'02_Giả định'!$B$26)*'03_Định giá'!$C$210</f>
        <v>24200.307409762692</v>
      </c>
      <c r="D54" s="15">
        <f>C54-'03_Định giá'!$C$250</f>
        <v>-1271.397272727274</v>
      </c>
      <c r="E54" s="19">
        <f>C54/'03_Định giá'!$C$250-1</f>
        <v>-4.9914102278410533E-2</v>
      </c>
      <c r="G54" s="17" t="s">
        <v>833</v>
      </c>
    </row>
  </sheetData>
  <mergeCells count="3">
    <mergeCell ref="A20:G20"/>
    <mergeCell ref="A11:G11"/>
    <mergeCell ref="A29:G29"/>
  </mergeCells>
  <conditionalFormatting sqref="B15:F19">
    <cfRule type="expression" dxfId="2" priority="2">
      <formula>B15&lt;0</formula>
    </cfRule>
  </conditionalFormatting>
  <pageMargins left="0.4" right="0.4" top="0.7" bottom="0.6" header="0.5" footer="0.5"/>
  <pageSetup paperSize="9" scale="60" fitToHeight="0" orientation="landscape" r:id="rId1"/>
  <headerFooter>
    <oddHeader>&amp;R&amp;A&amp;LMCM — Định giá DCF + tiền + dự án</oddHeader>
    <oddFooter>&amp;RTrang &amp;P / &amp;N&amp;LFairline Research — bản 13/10/2026</oddFooter>
  </headerFooter>
  <rowBreaks count="1" manualBreakCount="1">
    <brk id="30" max="16383" man="1"/>
  </rowBreaks>
  <extLst>
    <ext xmlns:x14="http://schemas.microsoft.com/office/spreadsheetml/2009/9/main" uri="{78C0D931-6437-407d-A8EE-F0AAD7539E65}">
      <x14:conditionalFormattings>
        <x14:conditionalFormatting xmlns:xm="http://schemas.microsoft.com/office/excel/2006/main">
          <x14:cfRule type="expression" priority="1" id="{00000000-000E-0000-0400-000001000000}">
            <xm:f>B6&lt;'01_Số liệu gốc'!$B$11</xm:f>
            <x14:dxf>
              <fill>
                <patternFill patternType="solid">
                  <fgColor rgb="FFFCE4D6"/>
                  <bgColor rgb="FFFCE4D6"/>
                </patternFill>
              </fill>
            </x14:dxf>
          </x14:cfRule>
          <xm:sqref>B6:F10</xm:sqref>
        </x14:conditionalFormatting>
        <x14:conditionalFormatting xmlns:xm="http://schemas.microsoft.com/office/excel/2006/main">
          <x14:cfRule type="expression" priority="3" id="{00000000-000E-0000-0400-000003000000}">
            <xm:f>B24&lt;'01_Số liệu gốc'!$B$11</xm:f>
            <x14:dxf>
              <fill>
                <patternFill patternType="solid">
                  <fgColor rgb="FFFCE4D6"/>
                  <bgColor rgb="FFFCE4D6"/>
                </patternFill>
              </fill>
            </x14:dxf>
          </x14:cfRule>
          <xm:sqref>B24:F28</xm:sqref>
        </x14:conditionalFormatting>
        <x14:conditionalFormatting xmlns:xm="http://schemas.microsoft.com/office/excel/2006/main">
          <x14:cfRule type="expression" priority="4" id="{00000000-000E-0000-0400-000004000000}">
            <xm:f>C33&lt;'01_Số liệu gốc'!$B$11</xm:f>
            <x14:dxf>
              <fill>
                <patternFill patternType="solid">
                  <fgColor rgb="FFFCE4D6"/>
                  <bgColor rgb="FFFCE4D6"/>
                </patternFill>
              </fill>
            </x14:dxf>
          </x14:cfRule>
          <xm:sqref>C33:C54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F5597"/>
    <pageSetUpPr fitToPage="1"/>
  </sheetPr>
  <dimension ref="A1:F62"/>
  <sheetViews>
    <sheetView showGridLines="0" zoomScale="90" workbookViewId="0"/>
  </sheetViews>
  <sheetFormatPr defaultRowHeight="14.4" x14ac:dyDescent="0.3"/>
  <cols>
    <col min="1" max="1" width="64" customWidth="1"/>
    <col min="2" max="4" width="16" customWidth="1"/>
    <col min="5" max="5" width="30" customWidth="1"/>
    <col min="6" max="6" width="80" customWidth="1"/>
  </cols>
  <sheetData>
    <row r="1" spans="1:6" ht="18" x14ac:dyDescent="0.3">
      <c r="A1" s="1" t="s">
        <v>625</v>
      </c>
    </row>
    <row r="3" spans="1:6" x14ac:dyDescent="0.3">
      <c r="A3" s="81" t="s">
        <v>626</v>
      </c>
      <c r="B3" s="12"/>
      <c r="C3" s="12"/>
      <c r="D3" s="12"/>
      <c r="E3" s="12"/>
      <c r="F3" s="12"/>
    </row>
    <row r="4" spans="1:6" ht="28.8" x14ac:dyDescent="0.3">
      <c r="A4" s="13" t="s">
        <v>96</v>
      </c>
      <c r="B4" s="13" t="s">
        <v>627</v>
      </c>
      <c r="C4" s="13" t="s">
        <v>628</v>
      </c>
      <c r="D4" s="13" t="s">
        <v>629</v>
      </c>
      <c r="E4" s="13"/>
      <c r="F4" s="13" t="s">
        <v>12</v>
      </c>
    </row>
    <row r="5" spans="1:6" x14ac:dyDescent="0.3">
      <c r="A5" s="14" t="s">
        <v>630</v>
      </c>
      <c r="B5" s="27">
        <f>'01_Số liệu gốc'!$B$11*'01_Số liệu gốc'!$B$8/1000</f>
        <v>2909.5</v>
      </c>
      <c r="C5" s="27">
        <f>'03_Định giá'!$B$257*'01_Số liệu gốc'!$B$8/1000</f>
        <v>2950.0568246850485</v>
      </c>
      <c r="D5" s="27">
        <f>'03_Định giá'!$C$250*'01_Số liệu gốc'!$B$8/1000</f>
        <v>2801.8875150738963</v>
      </c>
    </row>
    <row r="6" spans="1:6" x14ac:dyDescent="0.3">
      <c r="A6" s="14" t="s">
        <v>631</v>
      </c>
      <c r="B6" s="27">
        <f>B5-'01_Số liệu gốc'!$C$65</f>
        <v>1510.963</v>
      </c>
      <c r="C6" s="27">
        <f>C5-'01_Số liệu gốc'!$C$65</f>
        <v>1551.5198246850484</v>
      </c>
      <c r="D6" s="27">
        <f>D5-'01_Số liệu gốc'!$C$65</f>
        <v>1403.3505150738963</v>
      </c>
      <c r="F6" s="38" t="s">
        <v>632</v>
      </c>
    </row>
    <row r="7" spans="1:6" x14ac:dyDescent="0.3">
      <c r="A7" s="9" t="s">
        <v>633</v>
      </c>
      <c r="B7" s="82">
        <f>B5/'01_Số liệu gốc'!$H$51</f>
        <v>11.154775140896369</v>
      </c>
      <c r="C7" s="82">
        <f>C5/'01_Số liệu gốc'!$H$51</f>
        <v>11.310266551719698</v>
      </c>
      <c r="D7" s="82">
        <f>D5/'01_Số liệu gốc'!$H$51</f>
        <v>10.742198041152845</v>
      </c>
      <c r="F7" s="38" t="s">
        <v>634</v>
      </c>
    </row>
    <row r="8" spans="1:6" x14ac:dyDescent="0.3">
      <c r="A8" s="9" t="s">
        <v>635</v>
      </c>
      <c r="B8" s="82">
        <f>B6/('02_Giả định'!$B$35*(1-'02_Giả định'!$B$48)*(1-'02_Giả định'!$B$13))</f>
        <v>9.2639562901736046</v>
      </c>
      <c r="C8" s="82">
        <f>C6/('02_Giả định'!$B$35*(1-'02_Giả định'!$B$48)*(1-'02_Giả định'!$B$13))</f>
        <v>9.5126166816924727</v>
      </c>
      <c r="D8" s="82">
        <f>D6/('02_Giả định'!$B$35*(1-'02_Giả định'!$B$48)*(1-'02_Giả định'!$B$13))</f>
        <v>8.6041668998097176</v>
      </c>
      <c r="F8" s="38" t="s">
        <v>636</v>
      </c>
    </row>
    <row r="9" spans="1:6" x14ac:dyDescent="0.3">
      <c r="A9" s="9" t="s">
        <v>637</v>
      </c>
      <c r="B9" s="82">
        <f>B6/'03_Định giá'!$C$53</f>
        <v>8.5894638091505584</v>
      </c>
      <c r="C9" s="82">
        <f>C6/'03_Định giá'!$C$53</f>
        <v>8.8200196717668433</v>
      </c>
      <c r="D9" s="82">
        <f>D6/'03_Định giá'!$C$53</f>
        <v>7.9777125321930642</v>
      </c>
      <c r="F9" s="38" t="s">
        <v>638</v>
      </c>
    </row>
    <row r="10" spans="1:6" x14ac:dyDescent="0.3">
      <c r="A10" s="9" t="s">
        <v>639</v>
      </c>
      <c r="B10" s="82">
        <f>'01_Số liệu gốc'!$B$11/'01_Số liệu gốc'!$C$73</f>
        <v>1.2535064359875905</v>
      </c>
      <c r="C10" s="82">
        <f>'03_Định giá'!$B$257/'01_Số liệu gốc'!$C$73</f>
        <v>1.2709796240838023</v>
      </c>
      <c r="D10" s="82">
        <f>'03_Định giá'!$C$250/'01_Số liệu gốc'!$C$73</f>
        <v>1.2071435068081819</v>
      </c>
      <c r="F10" s="38"/>
    </row>
    <row r="11" spans="1:6" x14ac:dyDescent="0.3">
      <c r="A11" s="9" t="s">
        <v>640</v>
      </c>
      <c r="B11" s="82">
        <f>B6/('02_Giả định'!$B$35+'01_Số liệu gốc'!$H$52)</f>
        <v>5.6851208729188247</v>
      </c>
      <c r="C11" s="82">
        <f>C6/('02_Giả định'!$B$35+'01_Số liệu gốc'!$H$52)</f>
        <v>5.8377192161980966</v>
      </c>
      <c r="D11" s="82">
        <f>D6/('02_Giả định'!$B$35+'01_Số liệu gốc'!$H$52)</f>
        <v>5.2802201677129039</v>
      </c>
      <c r="F11" s="38"/>
    </row>
    <row r="12" spans="1:6" x14ac:dyDescent="0.3">
      <c r="A12" s="9" t="s">
        <v>641</v>
      </c>
      <c r="B12" s="83">
        <f>'01_Số liệu gốc'!$B$129/'01_Số liệu gốc'!$B$11</f>
        <v>7.5614366729678639E-2</v>
      </c>
      <c r="C12" s="83">
        <f>'01_Số liệu gốc'!$B$129/'03_Định giá'!$B$257</f>
        <v>7.4574834680849744E-2</v>
      </c>
      <c r="D12" s="83">
        <f>'01_Số liệu gốc'!$B$129/'03_Định giá'!$C$250</f>
        <v>7.851849826819253E-2</v>
      </c>
      <c r="F12" s="38" t="s">
        <v>642</v>
      </c>
    </row>
    <row r="13" spans="1:6" x14ac:dyDescent="0.3">
      <c r="A13" s="14" t="s">
        <v>643</v>
      </c>
      <c r="B13" s="84">
        <f>(1-'02_Giả định'!$B$13-'02_Giả định'!$B$12/'02_Giả định'!$B$51)/((1-'02_Giả định'!$B$13)*('02_Giả định'!$B$10-'02_Giả định'!$B$12))</f>
        <v>11.123479564670536</v>
      </c>
      <c r="F13" s="38" t="s">
        <v>644</v>
      </c>
    </row>
    <row r="14" spans="1:6" x14ac:dyDescent="0.3">
      <c r="A14" s="14" t="s">
        <v>645</v>
      </c>
      <c r="B14" s="84">
        <f>(1-'02_Giả định'!$B$48)*(1-'02_Giả định'!$B$13-'02_Giả định'!$B$12/'02_Giả định'!$B$51)*('02_Giả định'!$B$35/('02_Giả định'!$B$35+'01_Số liệu gốc'!$H$52))/('02_Giả định'!$B$10-'02_Giả định'!$B$12)</f>
        <v>6.8262763631205994</v>
      </c>
      <c r="F14" s="38" t="s">
        <v>646</v>
      </c>
    </row>
    <row r="16" spans="1:6" x14ac:dyDescent="0.3">
      <c r="A16" s="11" t="s">
        <v>647</v>
      </c>
      <c r="B16" s="12"/>
      <c r="C16" s="12"/>
      <c r="D16" s="12"/>
      <c r="E16" s="12"/>
      <c r="F16" s="12"/>
    </row>
    <row r="17" spans="1:6" x14ac:dyDescent="0.3">
      <c r="A17" s="9" t="s">
        <v>648</v>
      </c>
      <c r="B17" s="25">
        <f>'02_Giả định'!$B$12+'01_Số liệu gốc'!$B$11/'01_Số liệu gốc'!$C$73*('02_Giả định'!$B$10-'02_Giả định'!$B$12)</f>
        <v>0.13308836929561943</v>
      </c>
      <c r="F17" s="38"/>
    </row>
    <row r="18" spans="1:6" x14ac:dyDescent="0.3">
      <c r="A18" s="14" t="s">
        <v>649</v>
      </c>
      <c r="B18" s="50">
        <f>B17/(1-'02_Giả định'!$B$13)</f>
        <v>0.14787596588402158</v>
      </c>
      <c r="F18" s="38" t="s">
        <v>650</v>
      </c>
    </row>
    <row r="19" spans="1:6" x14ac:dyDescent="0.3">
      <c r="A19" s="9" t="s">
        <v>651</v>
      </c>
      <c r="B19" s="84">
        <f>(('01_Số liệu gốc'!$B$11*'01_Số liệu gốc'!$B$8/1000)-'01_Số liệu gốc'!$C$65)/'03_Định giá'!$C$53</f>
        <v>8.5894638091505584</v>
      </c>
      <c r="F19" s="38" t="s">
        <v>652</v>
      </c>
    </row>
    <row r="20" spans="1:6" x14ac:dyDescent="0.3">
      <c r="A20" s="9" t="s">
        <v>653</v>
      </c>
      <c r="B20" s="84">
        <f>(('01_Số liệu gốc'!$B$11*'01_Số liệu gốc'!$B$8/1000)-'01_Số liệu gốc'!$C$65-'03_Định giá'!$C$202)/'03_Định giá'!$C$53</f>
        <v>10.680011726453948</v>
      </c>
      <c r="F20" s="38" t="s">
        <v>654</v>
      </c>
    </row>
    <row r="21" spans="1:6" x14ac:dyDescent="0.3">
      <c r="A21" s="9" t="s">
        <v>655</v>
      </c>
      <c r="B21" s="24">
        <f>((('01_Số liệu gốc'!$B$11*'01_Số liệu gốc'!$B$8/1000)-'01_Số liệu gốc'!$C$65-'03_Định giá'!$C$202)/'03_Định giá'!$C$12/((1-'03_Định giá'!$C$10)*(1-'03_Định giá'!$C$36))+'03_Định giá'!$C$42-'03_Định giá'!$C$40*'03_Định giá'!$C$7)/('03_Định giá'!$C$48-'03_Định giá'!$C$9)</f>
        <v>2419.1948585614155</v>
      </c>
      <c r="F21" s="38" t="s">
        <v>656</v>
      </c>
    </row>
    <row r="22" spans="1:6" x14ac:dyDescent="0.3">
      <c r="A22" s="9" t="s">
        <v>657</v>
      </c>
      <c r="B22" s="24">
        <f>('01_Số liệu gốc'!$B$11*'01_Số liệu gốc'!$B$8/1000)-'01_Số liệu gốc'!$C$65-'03_Định giá'!$C$213</f>
        <v>-388.8529562201802</v>
      </c>
      <c r="F22" s="38" t="s">
        <v>658</v>
      </c>
    </row>
    <row r="23" spans="1:6" x14ac:dyDescent="0.3">
      <c r="A23" s="9" t="s">
        <v>659</v>
      </c>
      <c r="B23" s="25">
        <f>'02_Giả định'!$B$12+'03_Định giá'!$C$53*(1-'02_Giả định'!$B$12/'02_Giả định'!$B$51)/(('01_Số liệu gốc'!$B$11*'01_Số liệu gốc'!$B$8/1000)-'01_Số liệu gốc'!$C$65-'03_Định giá'!$C$202)</f>
        <v>0.11645266382729148</v>
      </c>
      <c r="F23" s="38" t="s">
        <v>660</v>
      </c>
    </row>
    <row r="24" spans="1:6" x14ac:dyDescent="0.3">
      <c r="A24" s="9" t="s">
        <v>661</v>
      </c>
      <c r="B24" s="25">
        <f>((('01_Số liệu gốc'!$B$11*'01_Số liệu gốc'!$B$8/1000)-'01_Số liệu gốc'!$C$65)*B23+'01_Số liệu gốc'!$C$65*'03_Định giá'!$C$16*(1-'02_Giả định'!$B$14)*(1-'02_Giả định'!$B$13))/('01_Số liệu gốc'!$B$11*'01_Số liệu gốc'!$B$8/1000)</f>
        <v>8.4702502524308582E-2</v>
      </c>
      <c r="F24" s="38" t="s">
        <v>662</v>
      </c>
    </row>
    <row r="25" spans="1:6" x14ac:dyDescent="0.3">
      <c r="A25" s="9" t="s">
        <v>663</v>
      </c>
      <c r="B25" s="85">
        <f>(B24-'02_Giả định'!$B$17)*100</f>
        <v>-0.5297497475691415</v>
      </c>
      <c r="F25" s="38" t="s">
        <v>888</v>
      </c>
    </row>
    <row r="26" spans="1:6" x14ac:dyDescent="0.3">
      <c r="A26" s="14" t="s">
        <v>664</v>
      </c>
      <c r="B26" s="55">
        <f>(B17-'02_Giả định'!$B$12)/('02_Giả định'!$B$10-'02_Giả định'!$B$12)*'01_Số liệu gốc'!$C$73</f>
        <v>26450.000000000004</v>
      </c>
      <c r="C26" s="10" t="str">
        <f>IF(ABS(B26-'01_Số liệu gốc'!$B$11)&lt;0.01,"KHỚP","LỆCH")</f>
        <v>KHỚP</v>
      </c>
    </row>
    <row r="27" spans="1:6" x14ac:dyDescent="0.3">
      <c r="A27" s="14" t="s">
        <v>665</v>
      </c>
      <c r="B27" s="55">
        <f>(('03_Định giá'!$C$40*'03_Định giá'!$C$7+('03_Định giá'!$C$48-'03_Định giá'!$C$9)*B21-'03_Định giá'!$C$42)*(1-'03_Định giá'!$C$10)*(1-'03_Định giá'!$C$36)*'03_Định giá'!$C$12+'01_Số liệu gốc'!$C$65+'03_Định giá'!$C$202)*1000/'01_Số liệu gốc'!$B$8</f>
        <v>26450</v>
      </c>
      <c r="C27" s="10" t="str">
        <f>IF(ABS(B27-'01_Số liệu gốc'!$B$11)&lt;0.01,"KHỚP","LỆCH")</f>
        <v>KHỚP</v>
      </c>
    </row>
    <row r="29" spans="1:6" x14ac:dyDescent="0.3">
      <c r="A29" s="11" t="s">
        <v>666</v>
      </c>
      <c r="B29" s="12"/>
      <c r="C29" s="12"/>
      <c r="D29" s="12"/>
      <c r="E29" s="12"/>
      <c r="F29" s="12"/>
    </row>
    <row r="30" spans="1:6" x14ac:dyDescent="0.3">
      <c r="A30" s="13" t="s">
        <v>96</v>
      </c>
      <c r="B30" s="13" t="s">
        <v>8</v>
      </c>
      <c r="C30" s="13" t="s">
        <v>9</v>
      </c>
      <c r="D30" s="13" t="s">
        <v>10</v>
      </c>
      <c r="E30" s="13"/>
      <c r="F30" s="13" t="s">
        <v>581</v>
      </c>
    </row>
    <row r="31" spans="1:6" x14ac:dyDescent="0.3">
      <c r="A31" s="14" t="s">
        <v>667</v>
      </c>
      <c r="B31" s="19">
        <f>'02_Giả định'!B68</f>
        <v>9.5000000000000001E-2</v>
      </c>
      <c r="C31" s="19">
        <f>'02_Giả định'!C68</f>
        <v>0.115</v>
      </c>
      <c r="D31" s="19">
        <f>'02_Giả định'!D68</f>
        <v>0.14000000000000001</v>
      </c>
    </row>
    <row r="32" spans="1:6" x14ac:dyDescent="0.3">
      <c r="A32" s="14" t="s">
        <v>668</v>
      </c>
      <c r="B32" s="19">
        <f>('03_Định giá'!B52+'03_Định giá'!B16*'03_Định giá'!B209*(1-'03_Định giá'!B37))/'01_Số liệu gốc'!$C$66</f>
        <v>8.7474874093345673E-2</v>
      </c>
      <c r="C32" s="19">
        <f>('03_Định giá'!C52+'03_Định giá'!C16*'03_Định giá'!C209*(1-'03_Định giá'!C37))/'01_Số liệu gốc'!$C$66</f>
        <v>0.11794997455227164</v>
      </c>
      <c r="D32" s="19">
        <f>('03_Định giá'!D52+'03_Định giá'!D16*'03_Định giá'!D209*(1-'03_Định giá'!D37))/'01_Số liệu gốc'!$C$66</f>
        <v>0.14877970369857646</v>
      </c>
    </row>
    <row r="33" spans="1:6" ht="24" x14ac:dyDescent="0.3">
      <c r="A33" s="9" t="s">
        <v>669</v>
      </c>
      <c r="B33" s="86">
        <f>(B32-B31)*100</f>
        <v>-0.75251259066543286</v>
      </c>
      <c r="C33" s="86">
        <f>(C32-C31)*100</f>
        <v>0.29499745522716392</v>
      </c>
      <c r="D33" s="86">
        <f>(D32-D31)*100</f>
        <v>0.87797036985764465</v>
      </c>
      <c r="F33" s="38" t="s">
        <v>670</v>
      </c>
    </row>
    <row r="35" spans="1:6" x14ac:dyDescent="0.3">
      <c r="A35" s="11" t="s">
        <v>671</v>
      </c>
      <c r="B35" s="12"/>
      <c r="C35" s="12"/>
      <c r="D35" s="12"/>
      <c r="E35" s="12"/>
      <c r="F35" s="12"/>
    </row>
    <row r="36" spans="1:6" ht="28.8" x14ac:dyDescent="0.3">
      <c r="A36" s="13" t="s">
        <v>672</v>
      </c>
      <c r="B36" s="13" t="s">
        <v>673</v>
      </c>
      <c r="C36" s="13" t="s">
        <v>674</v>
      </c>
      <c r="D36" s="13" t="s">
        <v>675</v>
      </c>
      <c r="E36" s="13"/>
      <c r="F36" s="13" t="s">
        <v>12</v>
      </c>
    </row>
    <row r="37" spans="1:6" x14ac:dyDescent="0.3">
      <c r="A37" s="9" t="s">
        <v>676</v>
      </c>
      <c r="B37" s="46">
        <v>11.06</v>
      </c>
      <c r="C37" s="46">
        <v>3.8</v>
      </c>
      <c r="D37" s="46">
        <v>9.2899999999999991</v>
      </c>
      <c r="F37" s="38" t="s">
        <v>677</v>
      </c>
    </row>
    <row r="38" spans="1:6" x14ac:dyDescent="0.3">
      <c r="A38" s="9" t="s">
        <v>678</v>
      </c>
      <c r="B38" s="46">
        <v>27.55</v>
      </c>
      <c r="C38" s="46">
        <v>5.36</v>
      </c>
      <c r="D38" s="46">
        <v>17.760000000000002</v>
      </c>
      <c r="F38" s="38" t="s">
        <v>679</v>
      </c>
    </row>
    <row r="39" spans="1:6" x14ac:dyDescent="0.3">
      <c r="A39" s="9" t="s">
        <v>680</v>
      </c>
      <c r="B39" s="46">
        <v>9.9700000000000006</v>
      </c>
      <c r="C39" s="46">
        <v>1.81</v>
      </c>
      <c r="D39" s="46">
        <v>8.66</v>
      </c>
      <c r="F39" s="38" t="s">
        <v>681</v>
      </c>
    </row>
    <row r="40" spans="1:6" x14ac:dyDescent="0.3">
      <c r="A40" s="9" t="s">
        <v>682</v>
      </c>
      <c r="B40" s="46">
        <v>11.51</v>
      </c>
      <c r="C40" s="46">
        <v>2.81</v>
      </c>
      <c r="D40" s="46">
        <v>10.38</v>
      </c>
      <c r="F40" s="38" t="s">
        <v>683</v>
      </c>
    </row>
    <row r="41" spans="1:6" x14ac:dyDescent="0.3">
      <c r="A41" s="9" t="s">
        <v>684</v>
      </c>
      <c r="B41" s="46">
        <v>11.18</v>
      </c>
      <c r="C41" s="46">
        <v>1.26</v>
      </c>
      <c r="D41" s="46">
        <v>10.82</v>
      </c>
      <c r="F41" s="38" t="s">
        <v>685</v>
      </c>
    </row>
    <row r="42" spans="1:6" x14ac:dyDescent="0.3">
      <c r="A42" s="9" t="s">
        <v>686</v>
      </c>
      <c r="B42" s="87">
        <f>MEDIAN(B37:B40)</f>
        <v>11.285</v>
      </c>
      <c r="C42" s="87">
        <f>MEDIAN(C37:C40)</f>
        <v>3.3049999999999997</v>
      </c>
      <c r="D42" s="87">
        <f>MEDIAN(D37:D40)</f>
        <v>9.8350000000000009</v>
      </c>
    </row>
    <row r="43" spans="1:6" x14ac:dyDescent="0.3">
      <c r="A43" s="17" t="s">
        <v>687</v>
      </c>
    </row>
    <row r="45" spans="1:6" x14ac:dyDescent="0.3">
      <c r="A45" s="11" t="s">
        <v>688</v>
      </c>
      <c r="B45" s="12"/>
      <c r="C45" s="12"/>
      <c r="D45" s="12"/>
      <c r="E45" s="12"/>
      <c r="F45" s="12"/>
    </row>
    <row r="46" spans="1:6" x14ac:dyDescent="0.3">
      <c r="A46" s="13" t="s">
        <v>96</v>
      </c>
      <c r="B46" s="13" t="s">
        <v>8</v>
      </c>
      <c r="C46" s="13" t="s">
        <v>9</v>
      </c>
      <c r="D46" s="13" t="s">
        <v>10</v>
      </c>
      <c r="E46" s="13"/>
      <c r="F46" s="13" t="s">
        <v>12</v>
      </c>
    </row>
    <row r="47" spans="1:6" x14ac:dyDescent="0.3">
      <c r="A47" s="14" t="s">
        <v>689</v>
      </c>
      <c r="B47" s="53">
        <v>9</v>
      </c>
      <c r="F47" s="38" t="s">
        <v>690</v>
      </c>
    </row>
    <row r="48" spans="1:6" ht="24" x14ac:dyDescent="0.3">
      <c r="A48" s="9" t="s">
        <v>691</v>
      </c>
      <c r="B48" s="23">
        <f>MAX(0,('03_Định giá'!B51*$B$47+'03_Định giá'!B209+'03_Định giá'!B202)*1000/'01_Số liệu gốc'!$B$8)</f>
        <v>19915.724196209438</v>
      </c>
      <c r="C48" s="23">
        <f>MAX(0,('03_Định giá'!C51*$B$47+'03_Định giá'!C209+'03_Định giá'!C202)*1000/'01_Số liệu gốc'!$B$8)</f>
        <v>26944.142869920986</v>
      </c>
      <c r="D48" s="23">
        <f>MAX(0,('03_Định giá'!D51*$B$47+'03_Định giá'!D209+'03_Định giá'!D202)*1000/'01_Số liệu gốc'!$B$8)</f>
        <v>38552.539136893836</v>
      </c>
      <c r="F48" s="38" t="s">
        <v>692</v>
      </c>
    </row>
    <row r="50" spans="1:6" x14ac:dyDescent="0.3">
      <c r="A50" s="11" t="s">
        <v>693</v>
      </c>
      <c r="B50" s="12"/>
      <c r="C50" s="12"/>
      <c r="D50" s="12"/>
      <c r="E50" s="12"/>
      <c r="F50" s="12"/>
    </row>
    <row r="51" spans="1:6" x14ac:dyDescent="0.3">
      <c r="A51" s="13" t="s">
        <v>96</v>
      </c>
      <c r="B51" s="13" t="s">
        <v>694</v>
      </c>
      <c r="C51" s="13" t="s">
        <v>695</v>
      </c>
      <c r="D51" s="13" t="s">
        <v>696</v>
      </c>
      <c r="E51" s="13" t="s">
        <v>697</v>
      </c>
      <c r="F51" s="13" t="s">
        <v>698</v>
      </c>
    </row>
    <row r="52" spans="1:6" x14ac:dyDescent="0.3">
      <c r="A52" s="9" t="s">
        <v>699</v>
      </c>
      <c r="B52" s="24">
        <f>'02_Giả định'!$B$53</f>
        <v>48.164720077968667</v>
      </c>
      <c r="C52" s="49">
        <f>'02_Giả định'!$C$53</f>
        <v>38.11436003898433</v>
      </c>
      <c r="D52" s="49">
        <f>'02_Giả định'!$D$53</f>
        <v>58.21508011695299</v>
      </c>
      <c r="E52" s="88"/>
      <c r="F52" s="9" t="str">
        <f>IF(E52="","CHỜ BCTC Q3 (cuối tháng 10/2026) — nhập LNST vào cột E",IF(E52&lt;C52,"DƯỚI DẢI — đà 6 tháng không giữ được: xem lại B và chi phí bán hàng ở 02",IF(E52&gt;D52,"TRÊN DẢI — xem có khoản bất thường không","TRONG DẢI")))</f>
        <v>CHỜ BCTC Q3 (cuối tháng 10/2026) — nhập LNST vào cột E</v>
      </c>
    </row>
    <row r="53" spans="1:6" x14ac:dyDescent="0.3">
      <c r="A53" s="17" t="s">
        <v>700</v>
      </c>
    </row>
    <row r="55" spans="1:6" x14ac:dyDescent="0.3">
      <c r="A55" s="11" t="s">
        <v>889</v>
      </c>
      <c r="B55" s="12"/>
      <c r="C55" s="12"/>
      <c r="D55" s="12"/>
      <c r="E55" s="12"/>
      <c r="F55" s="12"/>
    </row>
    <row r="56" spans="1:6" x14ac:dyDescent="0.3">
      <c r="A56" s="14" t="s">
        <v>890</v>
      </c>
    </row>
    <row r="57" spans="1:6" x14ac:dyDescent="0.3">
      <c r="A57" s="14" t="s">
        <v>704</v>
      </c>
    </row>
    <row r="58" spans="1:6" x14ac:dyDescent="0.3">
      <c r="A58" s="14" t="s">
        <v>705</v>
      </c>
    </row>
    <row r="59" spans="1:6" x14ac:dyDescent="0.3">
      <c r="A59" s="14" t="s">
        <v>706</v>
      </c>
    </row>
    <row r="60" spans="1:6" x14ac:dyDescent="0.3">
      <c r="A60" s="14" t="s">
        <v>707</v>
      </c>
    </row>
    <row r="61" spans="1:6" x14ac:dyDescent="0.3">
      <c r="A61" s="14" t="s">
        <v>708</v>
      </c>
    </row>
    <row r="62" spans="1:6" x14ac:dyDescent="0.3">
      <c r="A62" s="14" t="s">
        <v>709</v>
      </c>
    </row>
  </sheetData>
  <pageMargins left="0.4" right="0.4" top="0.7" bottom="0.6" header="0.5" footer="0.5"/>
  <pageSetup paperSize="9" scale="62" fitToHeight="0" orientation="landscape" r:id="rId1"/>
  <headerFooter>
    <oddHeader>&amp;R&amp;A&amp;LMCM — Định giá DCF + tiền + dự án</oddHeader>
    <oddFooter>&amp;RTrang &amp;P / &amp;N&amp;LFairline Research — bản 13/10/2026</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AD47"/>
    <pageSetUpPr fitToPage="1"/>
  </sheetPr>
  <dimension ref="A1:G71"/>
  <sheetViews>
    <sheetView showGridLines="0" zoomScale="90" workbookViewId="0">
      <pane xSplit="1" ySplit="3" topLeftCell="B4" activePane="bottomRight" state="frozen"/>
      <selection pane="topRight"/>
      <selection pane="bottomLeft"/>
      <selection pane="bottomRight"/>
    </sheetView>
  </sheetViews>
  <sheetFormatPr defaultRowHeight="14.4" x14ac:dyDescent="0.3"/>
  <cols>
    <col min="1" max="1" width="62" customWidth="1"/>
    <col min="2" max="4" width="14" customWidth="1"/>
    <col min="5" max="5" width="16" customWidth="1"/>
    <col min="6" max="6" width="95" customWidth="1"/>
  </cols>
  <sheetData>
    <row r="1" spans="1:6" ht="18" x14ac:dyDescent="0.3">
      <c r="A1" s="1" t="s">
        <v>710</v>
      </c>
    </row>
    <row r="2" spans="1:6" x14ac:dyDescent="0.3">
      <c r="A2" s="17" t="s">
        <v>711</v>
      </c>
    </row>
    <row r="4" spans="1:6" x14ac:dyDescent="0.3">
      <c r="A4" s="11" t="s">
        <v>712</v>
      </c>
      <c r="B4" s="12"/>
      <c r="C4" s="12"/>
      <c r="D4" s="12"/>
      <c r="E4" s="12"/>
      <c r="F4" s="12"/>
    </row>
    <row r="5" spans="1:6" x14ac:dyDescent="0.3">
      <c r="A5" s="13" t="s">
        <v>308</v>
      </c>
      <c r="B5" s="13" t="s">
        <v>8</v>
      </c>
      <c r="C5" s="13" t="s">
        <v>9</v>
      </c>
      <c r="D5" s="13" t="s">
        <v>10</v>
      </c>
      <c r="E5" s="13" t="s">
        <v>713</v>
      </c>
      <c r="F5" s="13" t="s">
        <v>309</v>
      </c>
    </row>
    <row r="6" spans="1:6" ht="24" x14ac:dyDescent="0.3">
      <c r="A6" s="14" t="s">
        <v>714</v>
      </c>
      <c r="B6" s="32">
        <v>860</v>
      </c>
      <c r="C6" s="32">
        <v>784</v>
      </c>
      <c r="D6" s="32">
        <v>784</v>
      </c>
      <c r="E6" s="49">
        <f>'01_Số liệu gốc'!$B$109*'01_Số liệu gốc'!$B$110/('01_Số liệu gốc'!$B$110+'01_Số liệu gốc'!$B$111)</f>
        <v>784</v>
      </c>
      <c r="F6" s="38" t="s">
        <v>715</v>
      </c>
    </row>
    <row r="7" spans="1:6" ht="24" x14ac:dyDescent="0.3">
      <c r="A7" s="14" t="s">
        <v>716</v>
      </c>
      <c r="B7" s="32">
        <v>336</v>
      </c>
      <c r="C7" s="32">
        <v>336</v>
      </c>
      <c r="D7" s="32">
        <v>336</v>
      </c>
      <c r="E7" s="49">
        <f>'01_Số liệu gốc'!$B$109*(1-'01_Số liệu gốc'!$B$110/('01_Số liệu gốc'!$B$110+'01_Số liệu gốc'!$B$111))</f>
        <v>336.00000000000006</v>
      </c>
      <c r="F7" s="38" t="s">
        <v>891</v>
      </c>
    </row>
    <row r="8" spans="1:6" ht="24" x14ac:dyDescent="0.3">
      <c r="A8" s="14" t="s">
        <v>717</v>
      </c>
      <c r="B8" s="32">
        <v>18</v>
      </c>
      <c r="C8" s="32">
        <v>20</v>
      </c>
      <c r="D8" s="32">
        <v>22</v>
      </c>
      <c r="E8" s="49">
        <f>'01_Số liệu gốc'!$B$112</f>
        <v>20</v>
      </c>
      <c r="F8" s="38" t="s">
        <v>718</v>
      </c>
    </row>
    <row r="9" spans="1:6" x14ac:dyDescent="0.3">
      <c r="A9" s="14" t="s">
        <v>719</v>
      </c>
      <c r="B9" s="48">
        <v>0.3</v>
      </c>
      <c r="C9" s="48">
        <v>0.5</v>
      </c>
      <c r="D9" s="48">
        <v>0.6</v>
      </c>
      <c r="F9" s="38" t="s">
        <v>720</v>
      </c>
    </row>
    <row r="10" spans="1:6" ht="36" x14ac:dyDescent="0.3">
      <c r="A10" s="14" t="s">
        <v>721</v>
      </c>
      <c r="B10" s="34">
        <v>13000</v>
      </c>
      <c r="C10" s="34">
        <v>14500</v>
      </c>
      <c r="D10" s="34">
        <v>16000</v>
      </c>
      <c r="F10" s="38" t="s">
        <v>722</v>
      </c>
    </row>
    <row r="11" spans="1:6" ht="24" x14ac:dyDescent="0.3">
      <c r="A11" s="14" t="s">
        <v>723</v>
      </c>
      <c r="B11" s="34">
        <v>11500</v>
      </c>
      <c r="C11" s="34">
        <v>10500</v>
      </c>
      <c r="D11" s="34">
        <v>9500</v>
      </c>
      <c r="F11" s="38" t="s">
        <v>724</v>
      </c>
    </row>
    <row r="12" spans="1:6" x14ac:dyDescent="0.3">
      <c r="A12" s="14" t="s">
        <v>725</v>
      </c>
      <c r="B12" s="48">
        <v>0.05</v>
      </c>
      <c r="C12" s="48">
        <v>0.05</v>
      </c>
      <c r="D12" s="48">
        <v>0.05</v>
      </c>
      <c r="F12" s="38" t="s">
        <v>726</v>
      </c>
    </row>
    <row r="13" spans="1:6" x14ac:dyDescent="0.3">
      <c r="A13" s="14" t="s">
        <v>727</v>
      </c>
      <c r="B13" s="32">
        <v>15</v>
      </c>
      <c r="C13" s="32">
        <v>15</v>
      </c>
      <c r="D13" s="32">
        <v>15</v>
      </c>
      <c r="F13" s="38" t="s">
        <v>726</v>
      </c>
    </row>
    <row r="14" spans="1:6" x14ac:dyDescent="0.3">
      <c r="A14" s="14" t="s">
        <v>728</v>
      </c>
      <c r="B14" s="63">
        <v>20</v>
      </c>
      <c r="C14" s="63">
        <v>20</v>
      </c>
      <c r="D14" s="63">
        <v>20</v>
      </c>
      <c r="F14" s="38" t="s">
        <v>729</v>
      </c>
    </row>
    <row r="15" spans="1:6" ht="24" x14ac:dyDescent="0.3">
      <c r="A15" s="14" t="s">
        <v>730</v>
      </c>
      <c r="B15" s="32">
        <v>0</v>
      </c>
      <c r="C15" s="32">
        <v>10</v>
      </c>
      <c r="D15" s="32">
        <v>25</v>
      </c>
      <c r="F15" s="38" t="s">
        <v>731</v>
      </c>
    </row>
    <row r="17" spans="1:7" x14ac:dyDescent="0.3">
      <c r="A17" s="11" t="s">
        <v>732</v>
      </c>
      <c r="B17" s="12"/>
      <c r="C17" s="12"/>
      <c r="D17" s="12"/>
      <c r="E17" s="12"/>
      <c r="F17" s="12"/>
    </row>
    <row r="18" spans="1:7" x14ac:dyDescent="0.3">
      <c r="A18" s="13" t="s">
        <v>308</v>
      </c>
      <c r="B18" s="13" t="s">
        <v>8</v>
      </c>
      <c r="C18" s="13" t="s">
        <v>9</v>
      </c>
      <c r="D18" s="13" t="s">
        <v>10</v>
      </c>
      <c r="E18" s="13" t="s">
        <v>713</v>
      </c>
      <c r="F18" s="13" t="s">
        <v>309</v>
      </c>
    </row>
    <row r="19" spans="1:7" x14ac:dyDescent="0.3">
      <c r="A19" s="14" t="s">
        <v>733</v>
      </c>
      <c r="B19" s="63">
        <v>0</v>
      </c>
      <c r="C19" s="63">
        <v>1</v>
      </c>
      <c r="D19" s="63">
        <v>1</v>
      </c>
      <c r="F19" s="38" t="s">
        <v>734</v>
      </c>
    </row>
    <row r="20" spans="1:7" x14ac:dyDescent="0.3">
      <c r="A20" s="14" t="s">
        <v>735</v>
      </c>
      <c r="B20" s="32">
        <v>850</v>
      </c>
      <c r="C20" s="32">
        <v>743</v>
      </c>
      <c r="D20" s="32">
        <v>743</v>
      </c>
      <c r="E20" s="49">
        <f>'01_Số liệu gốc'!$B$116</f>
        <v>743</v>
      </c>
      <c r="F20" s="38" t="s">
        <v>736</v>
      </c>
    </row>
    <row r="21" spans="1:7" ht="24" x14ac:dyDescent="0.3">
      <c r="A21" s="14" t="s">
        <v>737</v>
      </c>
      <c r="B21" s="63">
        <v>2031</v>
      </c>
      <c r="C21" s="63">
        <v>2030</v>
      </c>
      <c r="D21" s="63">
        <v>2028</v>
      </c>
      <c r="F21" s="38" t="s">
        <v>892</v>
      </c>
      <c r="G21" t="str">
        <f>IF(AND(MIN(B21:D21)&gt;=2028,MAX(B21:D21)&lt;=2032),"ĐẠT — năm có lãi trong 2028–2032","SAI — năm có lãi phải trong 2028–2032: năm khác làm 03 dòng 82 tính sai vốn nhà máy")</f>
        <v>ĐẠT — năm có lãi trong 2028–2032</v>
      </c>
    </row>
    <row r="22" spans="1:7" ht="24" x14ac:dyDescent="0.3">
      <c r="A22" s="14" t="s">
        <v>738</v>
      </c>
      <c r="B22" s="32">
        <v>20</v>
      </c>
      <c r="C22" s="32">
        <v>45</v>
      </c>
      <c r="D22" s="32">
        <v>75</v>
      </c>
      <c r="F22" s="38" t="s">
        <v>739</v>
      </c>
    </row>
    <row r="24" spans="1:7" x14ac:dyDescent="0.3">
      <c r="A24" s="11" t="s">
        <v>740</v>
      </c>
      <c r="B24" s="12"/>
      <c r="C24" s="12"/>
      <c r="D24" s="12"/>
      <c r="E24" s="12"/>
      <c r="F24" s="12"/>
    </row>
    <row r="25" spans="1:7" x14ac:dyDescent="0.3">
      <c r="A25" s="13" t="s">
        <v>96</v>
      </c>
      <c r="B25" s="13" t="s">
        <v>8</v>
      </c>
      <c r="C25" s="13" t="s">
        <v>9</v>
      </c>
      <c r="D25" s="13" t="s">
        <v>10</v>
      </c>
      <c r="E25" s="13"/>
      <c r="F25" s="13" t="s">
        <v>581</v>
      </c>
    </row>
    <row r="26" spans="1:7" x14ac:dyDescent="0.3">
      <c r="A26" s="14" t="s">
        <v>741</v>
      </c>
      <c r="B26" s="27">
        <f>'03_Định giá'!$B$60</f>
        <v>1196</v>
      </c>
      <c r="C26" s="27">
        <f>'03_Định giá'!$C$60</f>
        <v>1120</v>
      </c>
      <c r="D26" s="27">
        <f>'03_Định giá'!$D$60</f>
        <v>1120</v>
      </c>
      <c r="F26" s="38"/>
    </row>
    <row r="27" spans="1:7" x14ac:dyDescent="0.3">
      <c r="A27" s="14" t="s">
        <v>742</v>
      </c>
      <c r="B27" s="27">
        <f>'03_Định giá'!$B$61</f>
        <v>780.67899999999997</v>
      </c>
      <c r="C27" s="27">
        <f>'03_Định giá'!$C$61</f>
        <v>704.67899999999997</v>
      </c>
      <c r="D27" s="27">
        <f>'03_Định giá'!$D$61</f>
        <v>704.67899999999997</v>
      </c>
      <c r="F27" s="38" t="s">
        <v>743</v>
      </c>
    </row>
    <row r="28" spans="1:7" x14ac:dyDescent="0.3">
      <c r="A28" s="14" t="s">
        <v>744</v>
      </c>
      <c r="B28" s="27">
        <f>'03_Định giá'!$B$62</f>
        <v>245.7</v>
      </c>
      <c r="C28" s="27">
        <f>'03_Định giá'!$C$62</f>
        <v>304.5</v>
      </c>
      <c r="D28" s="27">
        <f>'03_Định giá'!$D$62</f>
        <v>369.6</v>
      </c>
      <c r="F28" s="38" t="s">
        <v>745</v>
      </c>
    </row>
    <row r="29" spans="1:7" x14ac:dyDescent="0.3">
      <c r="A29" s="14" t="s">
        <v>746</v>
      </c>
      <c r="B29" s="27">
        <f>'03_Định giá'!$B$63</f>
        <v>38.699999999999989</v>
      </c>
      <c r="C29" s="27">
        <f>'03_Định giá'!$C$63</f>
        <v>94.5</v>
      </c>
      <c r="D29" s="27">
        <f>'03_Định giá'!$D$63</f>
        <v>160.60000000000002</v>
      </c>
      <c r="F29" s="38" t="s">
        <v>747</v>
      </c>
    </row>
    <row r="30" spans="1:7" x14ac:dyDescent="0.3">
      <c r="A30" s="14" t="s">
        <v>748</v>
      </c>
      <c r="B30" s="27">
        <f>'03_Định giá'!$B$65</f>
        <v>-4.3000000000000114</v>
      </c>
      <c r="C30" s="27">
        <f>'03_Định giá'!$C$65</f>
        <v>55.3</v>
      </c>
      <c r="D30" s="27">
        <f>'03_Định giá'!$D$65</f>
        <v>121.40000000000002</v>
      </c>
      <c r="F30" s="38"/>
    </row>
    <row r="31" spans="1:7" x14ac:dyDescent="0.3">
      <c r="A31" s="9" t="s">
        <v>749</v>
      </c>
      <c r="B31" s="83">
        <f>'03_Định giá'!$B$67</f>
        <v>-5.0000000000000131E-3</v>
      </c>
      <c r="C31" s="83">
        <f>'03_Định giá'!$C$67</f>
        <v>7.0535714285714285E-2</v>
      </c>
      <c r="D31" s="83">
        <f>'03_Định giá'!$D$67</f>
        <v>0.15484693877551023</v>
      </c>
      <c r="F31" s="38" t="s">
        <v>750</v>
      </c>
    </row>
    <row r="32" spans="1:7" x14ac:dyDescent="0.3">
      <c r="A32" s="14" t="s">
        <v>751</v>
      </c>
      <c r="B32" s="27">
        <f>'03_Định giá'!$B$68</f>
        <v>0</v>
      </c>
      <c r="C32" s="27">
        <f>'03_Định giá'!$C$68</f>
        <v>8</v>
      </c>
      <c r="D32" s="27">
        <f>'03_Định giá'!$D$68</f>
        <v>20</v>
      </c>
      <c r="F32" s="38" t="s">
        <v>752</v>
      </c>
    </row>
    <row r="33" spans="1:6" x14ac:dyDescent="0.3">
      <c r="A33" s="14" t="s">
        <v>753</v>
      </c>
      <c r="B33" s="27">
        <f>'03_Định giá'!$B$69</f>
        <v>0</v>
      </c>
      <c r="C33" s="27">
        <f>'03_Định giá'!$C$69</f>
        <v>711.923</v>
      </c>
      <c r="D33" s="27">
        <f>'03_Định giá'!$D$69</f>
        <v>711.923</v>
      </c>
      <c r="F33" s="38"/>
    </row>
    <row r="34" spans="1:6" x14ac:dyDescent="0.3">
      <c r="A34" s="14" t="s">
        <v>488</v>
      </c>
      <c r="B34" s="19">
        <f>'03_Định giá'!$B$70</f>
        <v>0</v>
      </c>
      <c r="C34" s="19">
        <f>'03_Định giá'!$C$70</f>
        <v>6.0565275908479141E-2</v>
      </c>
      <c r="D34" s="19">
        <f>'03_Định giá'!$D$70</f>
        <v>0.1009421265141319</v>
      </c>
      <c r="F34" s="38"/>
    </row>
    <row r="35" spans="1:6" x14ac:dyDescent="0.3">
      <c r="A35" s="9" t="s">
        <v>754</v>
      </c>
      <c r="B35" s="89">
        <f>'03_Định giá'!$B$200</f>
        <v>-525.57969382150839</v>
      </c>
      <c r="C35" s="89">
        <f>'03_Định giá'!$C$200</f>
        <v>-47.597289165183327</v>
      </c>
      <c r="D35" s="89">
        <f>'03_Định giá'!$D$200</f>
        <v>463.83391152323651</v>
      </c>
      <c r="F35" s="38" t="s">
        <v>755</v>
      </c>
    </row>
    <row r="36" spans="1:6" x14ac:dyDescent="0.3">
      <c r="A36" s="9" t="s">
        <v>756</v>
      </c>
      <c r="B36" s="89">
        <f>'03_Định giá'!$B$201</f>
        <v>0</v>
      </c>
      <c r="C36" s="89">
        <f>'03_Định giá'!$C$201</f>
        <v>-320.14866366220974</v>
      </c>
      <c r="D36" s="89">
        <f>'03_Định giá'!$D$201</f>
        <v>-178.94858809776912</v>
      </c>
      <c r="F36" s="38"/>
    </row>
    <row r="37" spans="1:6" x14ac:dyDescent="0.3">
      <c r="A37" s="9" t="s">
        <v>757</v>
      </c>
      <c r="B37" s="24">
        <f>'03_Định giá'!$B$202</f>
        <v>-525.57969382150839</v>
      </c>
      <c r="C37" s="24">
        <f>'03_Định giá'!$C$202</f>
        <v>-367.74595282739307</v>
      </c>
      <c r="D37" s="24">
        <f>'03_Định giá'!$D$202</f>
        <v>284.88532342546739</v>
      </c>
      <c r="F37" s="38" t="s">
        <v>758</v>
      </c>
    </row>
    <row r="38" spans="1:6" x14ac:dyDescent="0.3">
      <c r="A38" s="14" t="s">
        <v>528</v>
      </c>
      <c r="B38" s="15">
        <f>'03_Định giá'!$B$203</f>
        <v>-4777.997216559168</v>
      </c>
      <c r="C38" s="15">
        <f>'03_Định giá'!$C$203</f>
        <v>-3343.1450257035735</v>
      </c>
      <c r="D38" s="15">
        <f>'03_Định giá'!$D$203</f>
        <v>2589.8665765951582</v>
      </c>
      <c r="F38" s="38"/>
    </row>
    <row r="39" spans="1:6" x14ac:dyDescent="0.3">
      <c r="A39" s="9" t="s">
        <v>759</v>
      </c>
      <c r="B39" s="78">
        <f>'03_Định giá'!$B$205</f>
        <v>17415.581618756431</v>
      </c>
      <c r="C39" s="78">
        <f>'03_Định giá'!$C$205</f>
        <v>14850.970556345739</v>
      </c>
      <c r="D39" s="78">
        <f>'03_Định giá'!$D$205</f>
        <v>12928.803888127884</v>
      </c>
      <c r="F39" s="38" t="s">
        <v>760</v>
      </c>
    </row>
    <row r="40" spans="1:6" x14ac:dyDescent="0.3">
      <c r="A40" s="9" t="s">
        <v>533</v>
      </c>
      <c r="B40" s="89">
        <f>'03_Định giá'!$B$207</f>
        <v>0</v>
      </c>
      <c r="C40" s="89">
        <f>'03_Định giá'!$C$207</f>
        <v>112.94245177411221</v>
      </c>
      <c r="D40" s="89">
        <f>'03_Định giá'!$D$207</f>
        <v>104.54102756224957</v>
      </c>
      <c r="F40" s="38"/>
    </row>
    <row r="41" spans="1:6" x14ac:dyDescent="0.3">
      <c r="A41" s="14" t="s">
        <v>534</v>
      </c>
      <c r="B41" s="19">
        <f>'03_Định giá'!$B$208</f>
        <v>0</v>
      </c>
      <c r="C41" s="19">
        <f>'03_Định giá'!$C$208</f>
        <v>0.15200868341064902</v>
      </c>
      <c r="D41" s="19">
        <f>'03_Định giá'!$D$208</f>
        <v>0.1407012484014126</v>
      </c>
      <c r="F41" s="38"/>
    </row>
    <row r="43" spans="1:6" x14ac:dyDescent="0.3">
      <c r="A43" s="11" t="s">
        <v>761</v>
      </c>
      <c r="B43" s="12"/>
      <c r="C43" s="12"/>
      <c r="D43" s="12"/>
      <c r="E43" s="12"/>
      <c r="F43" s="12"/>
    </row>
    <row r="44" spans="1:6" x14ac:dyDescent="0.3">
      <c r="A44" s="13" t="s">
        <v>40</v>
      </c>
      <c r="B44" s="13" t="s">
        <v>41</v>
      </c>
      <c r="C44" s="13" t="s">
        <v>42</v>
      </c>
      <c r="D44" s="13" t="s">
        <v>43</v>
      </c>
      <c r="E44" s="13" t="s">
        <v>44</v>
      </c>
      <c r="F44" s="13" t="s">
        <v>45</v>
      </c>
    </row>
    <row r="45" spans="1:6" x14ac:dyDescent="0.3">
      <c r="A45" s="14" t="s">
        <v>762</v>
      </c>
      <c r="B45" s="27">
        <f>'03_Định giá'!$C$81</f>
        <v>704.67899999999997</v>
      </c>
      <c r="C45" s="27">
        <f>'03_Định giá'!$C$105</f>
        <v>0</v>
      </c>
      <c r="D45" s="27">
        <f>'03_Định giá'!$C$129</f>
        <v>0</v>
      </c>
      <c r="E45" s="27">
        <f>'03_Định giá'!$C$153</f>
        <v>0</v>
      </c>
      <c r="F45" s="27">
        <f>'03_Định giá'!$C$177</f>
        <v>0</v>
      </c>
    </row>
    <row r="46" spans="1:6" x14ac:dyDescent="0.3">
      <c r="A46" s="14" t="s">
        <v>763</v>
      </c>
      <c r="B46" s="27">
        <f>'03_Định giá'!$C$82</f>
        <v>0</v>
      </c>
      <c r="C46" s="27">
        <f>'03_Định giá'!$C$106</f>
        <v>355.9615</v>
      </c>
      <c r="D46" s="27">
        <f>'03_Định giá'!$C$130</f>
        <v>355.9615</v>
      </c>
      <c r="E46" s="27">
        <f>'03_Định giá'!$C$154</f>
        <v>0</v>
      </c>
      <c r="F46" s="27">
        <f>'03_Định giá'!$C$178</f>
        <v>0</v>
      </c>
    </row>
    <row r="47" spans="1:6" x14ac:dyDescent="0.3">
      <c r="A47" s="14" t="s">
        <v>764</v>
      </c>
      <c r="B47" s="27">
        <f>'03_Định giá'!$C$86</f>
        <v>27.65</v>
      </c>
      <c r="C47" s="27">
        <f>'03_Định giá'!$C$110</f>
        <v>63.3</v>
      </c>
      <c r="D47" s="27">
        <f>'03_Định giá'!$C$134</f>
        <v>63.3</v>
      </c>
      <c r="E47" s="27">
        <f>'03_Định giá'!$C$158</f>
        <v>108.3</v>
      </c>
      <c r="F47" s="27">
        <f>'03_Định giá'!$C$182</f>
        <v>108.3</v>
      </c>
    </row>
    <row r="48" spans="1:6" x14ac:dyDescent="0.3">
      <c r="A48" s="14" t="s">
        <v>765</v>
      </c>
      <c r="B48" s="27">
        <f>'03_Định giá'!$C$87</f>
        <v>-667.69399999999996</v>
      </c>
      <c r="C48" s="27">
        <f>'03_Định giá'!$C$111</f>
        <v>81.17</v>
      </c>
      <c r="D48" s="27">
        <f>'03_Định giá'!$C$135</f>
        <v>81.17</v>
      </c>
      <c r="E48" s="27">
        <f>'03_Định giá'!$C$159</f>
        <v>81.17</v>
      </c>
      <c r="F48" s="27">
        <f>'03_Định giá'!$C$183</f>
        <v>81.17</v>
      </c>
    </row>
    <row r="49" spans="1:6" x14ac:dyDescent="0.3">
      <c r="A49" s="14" t="s">
        <v>766</v>
      </c>
      <c r="B49" s="27">
        <f>'03_Định giá'!$C$88</f>
        <v>0</v>
      </c>
      <c r="C49" s="27">
        <f>'03_Định giá'!$C$112</f>
        <v>-355.9615</v>
      </c>
      <c r="D49" s="27">
        <f>'03_Định giá'!$C$136</f>
        <v>-355.9615</v>
      </c>
      <c r="E49" s="27">
        <f>'03_Định giá'!$C$160</f>
        <v>40.5</v>
      </c>
      <c r="F49" s="27">
        <f>'03_Định giá'!$C$184</f>
        <v>40.5</v>
      </c>
    </row>
    <row r="50" spans="1:6" x14ac:dyDescent="0.3">
      <c r="A50" s="17" t="s">
        <v>767</v>
      </c>
    </row>
    <row r="52" spans="1:6" x14ac:dyDescent="0.3">
      <c r="A52" s="11" t="s">
        <v>768</v>
      </c>
      <c r="B52" s="12"/>
      <c r="C52" s="12"/>
      <c r="D52" s="12"/>
      <c r="E52" s="12"/>
      <c r="F52" s="12"/>
    </row>
    <row r="53" spans="1:6" x14ac:dyDescent="0.3">
      <c r="A53" s="13" t="s">
        <v>96</v>
      </c>
      <c r="B53" s="13" t="s">
        <v>769</v>
      </c>
      <c r="C53" s="13"/>
      <c r="D53" s="13"/>
      <c r="E53" s="13" t="s">
        <v>10</v>
      </c>
      <c r="F53" s="13" t="s">
        <v>8</v>
      </c>
    </row>
    <row r="54" spans="1:6" x14ac:dyDescent="0.3">
      <c r="A54" s="9" t="s">
        <v>770</v>
      </c>
      <c r="B54" s="14" t="s">
        <v>771</v>
      </c>
      <c r="E54" s="14" t="s">
        <v>772</v>
      </c>
      <c r="F54" s="14" t="s">
        <v>773</v>
      </c>
    </row>
    <row r="55" spans="1:6" x14ac:dyDescent="0.3">
      <c r="A55" s="9" t="s">
        <v>774</v>
      </c>
      <c r="B55" s="14" t="s">
        <v>775</v>
      </c>
      <c r="E55" s="14" t="s">
        <v>776</v>
      </c>
      <c r="F55" s="14" t="s">
        <v>777</v>
      </c>
    </row>
    <row r="56" spans="1:6" x14ac:dyDescent="0.3">
      <c r="A56" s="9" t="s">
        <v>778</v>
      </c>
      <c r="B56" s="14" t="s">
        <v>702</v>
      </c>
      <c r="E56" s="14" t="s">
        <v>779</v>
      </c>
      <c r="F56" s="14" t="s">
        <v>780</v>
      </c>
    </row>
    <row r="57" spans="1:6" x14ac:dyDescent="0.3">
      <c r="A57" s="9" t="s">
        <v>86</v>
      </c>
      <c r="B57" s="14" t="s">
        <v>703</v>
      </c>
      <c r="E57" s="14" t="s">
        <v>781</v>
      </c>
      <c r="F57" s="14" t="s">
        <v>782</v>
      </c>
    </row>
    <row r="58" spans="1:6" x14ac:dyDescent="0.3">
      <c r="A58" s="9" t="s">
        <v>783</v>
      </c>
      <c r="B58" s="14" t="s">
        <v>701</v>
      </c>
      <c r="E58" s="14" t="s">
        <v>784</v>
      </c>
      <c r="F58" s="14" t="s">
        <v>785</v>
      </c>
    </row>
    <row r="59" spans="1:6" x14ac:dyDescent="0.3">
      <c r="A59" s="9" t="s">
        <v>786</v>
      </c>
      <c r="B59" s="14" t="s">
        <v>787</v>
      </c>
      <c r="E59" s="14" t="s">
        <v>788</v>
      </c>
      <c r="F59" s="14" t="s">
        <v>789</v>
      </c>
    </row>
    <row r="60" spans="1:6" x14ac:dyDescent="0.3">
      <c r="A60" s="9" t="s">
        <v>790</v>
      </c>
      <c r="B60" s="14" t="s">
        <v>791</v>
      </c>
      <c r="E60" s="14" t="s">
        <v>792</v>
      </c>
      <c r="F60" s="14" t="s">
        <v>793</v>
      </c>
    </row>
    <row r="61" spans="1:6" x14ac:dyDescent="0.3">
      <c r="A61" s="9" t="s">
        <v>794</v>
      </c>
      <c r="B61" s="14" t="s">
        <v>795</v>
      </c>
      <c r="E61" s="14" t="s">
        <v>796</v>
      </c>
      <c r="F61" s="14" t="s">
        <v>797</v>
      </c>
    </row>
    <row r="62" spans="1:6" x14ac:dyDescent="0.3">
      <c r="A62" s="9" t="s">
        <v>798</v>
      </c>
      <c r="B62" s="14" t="s">
        <v>799</v>
      </c>
      <c r="E62" s="14" t="s">
        <v>800</v>
      </c>
      <c r="F62" s="14" t="s">
        <v>801</v>
      </c>
    </row>
    <row r="64" spans="1:6" x14ac:dyDescent="0.3">
      <c r="A64" s="11" t="s">
        <v>893</v>
      </c>
      <c r="B64" s="12"/>
      <c r="C64" s="12"/>
      <c r="D64" s="12"/>
      <c r="E64" s="12"/>
      <c r="F64" s="12"/>
    </row>
    <row r="65" spans="1:1" x14ac:dyDescent="0.3">
      <c r="A65" s="14" t="s">
        <v>802</v>
      </c>
    </row>
    <row r="66" spans="1:1" x14ac:dyDescent="0.3">
      <c r="A66" s="14" t="s">
        <v>803</v>
      </c>
    </row>
    <row r="67" spans="1:1" x14ac:dyDescent="0.3">
      <c r="A67" s="14" t="s">
        <v>804</v>
      </c>
    </row>
    <row r="68" spans="1:1" x14ac:dyDescent="0.3">
      <c r="A68" s="14" t="s">
        <v>805</v>
      </c>
    </row>
    <row r="69" spans="1:1" x14ac:dyDescent="0.3">
      <c r="A69" s="14" t="s">
        <v>806</v>
      </c>
    </row>
    <row r="70" spans="1:1" x14ac:dyDescent="0.3">
      <c r="A70" s="14" t="s">
        <v>807</v>
      </c>
    </row>
    <row r="71" spans="1:1" x14ac:dyDescent="0.3">
      <c r="A71" s="14" t="s">
        <v>808</v>
      </c>
    </row>
  </sheetData>
  <dataValidations count="1">
    <dataValidation type="whole" allowBlank="1" showInputMessage="1" showErrorMessage="1" errorTitle="Năm ngoài 2028–2032" error="Chỉ nhận 2028–2032. Mô hình bắt đầu từ 2027: năm 2027 làm công thức 03 dòng 82 không trừ vốn nhà máy; từ 2033 bỏ mất nửa vốn. Xong Q4/2027 thì năm có lãi là 2028." promptTitle="Năm bắt đầu có lãi" prompt="2028–2032. Xong cuối năm X thì nhập X + 1." sqref="B21:D21" xr:uid="{513E80C1-ED63-46AA-907A-17416FB23CE5}">
      <formula1>2028</formula1>
      <formula2>2032</formula2>
    </dataValidation>
  </dataValidations>
  <pageMargins left="0.4" right="0.4" top="0.7" bottom="0.6" header="0.5" footer="0.5"/>
  <pageSetup paperSize="9" scale="55" fitToHeight="0" orientation="landscape" r:id="rId1"/>
  <headerFooter>
    <oddHeader>&amp;R&amp;A&amp;LMCM — Định giá DCF + tiền + dự án</oddHeader>
    <oddFooter>&amp;RTrang &amp;P / &amp;N&amp;LFairline Research — bản 13/10/2026</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00_Tổng hợp</vt:lpstr>
      <vt:lpstr>01_Số liệu gốc</vt:lpstr>
      <vt:lpstr>02_Giả định</vt:lpstr>
      <vt:lpstr>03_Định giá</vt:lpstr>
      <vt:lpstr>04_Độ nhạy</vt:lpstr>
      <vt:lpstr>05_Đối chiếu</vt:lpstr>
      <vt:lpstr>06_Dự án</vt:lpstr>
      <vt:lpstr>'00_Tổng hợp'!Print_Area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MCM — Định giá DCF + tiền + dự án (13/10/2026)</dc:title>
  <dc:subject/>
  <dc:creator>Fairline Research</dc:creator>
  <cp:keywords/>
  <dc:description/>
  <cp:lastModifiedBy>Fairline Research</cp:lastModifiedBy>
  <dcterms:created xsi:type="dcterms:W3CDTF">2026-10-12T05:20:57Z</dcterms:created>
  <dcterms:modified xsi:type="dcterms:W3CDTF">2026-10-13T10:27:43Z</dcterms:modified>
</cp:coreProperties>
</file>