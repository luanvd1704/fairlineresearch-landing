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EE68C63D-279F-4D31-BF73-072C6BA336A2}" xr6:coauthVersionLast="47" xr6:coauthVersionMax="47" xr10:uidLastSave="{00000000-0000-0000-0000-000000000000}"/>
  <bookViews>
    <workbookView xWindow="-108" yWindow="-108" windowWidth="30936" windowHeight="18696" xr2:uid="{00000000-000D-0000-FFFF-FFFF00000000}"/>
  </bookViews>
  <sheets>
    <sheet name="00_Tổng hợp" sheetId="1" r:id="rId1"/>
    <sheet name="01_Số liệu gốc" sheetId="2" r:id="rId2"/>
    <sheet name="02_Giả định" sheetId="3" r:id="rId3"/>
    <sheet name="03_Định giá" sheetId="4" r:id="rId4"/>
    <sheet name="04_Độ nhạy" sheetId="5" r:id="rId5"/>
    <sheet name="05_Đối chiếu" sheetId="6" r:id="rId6"/>
    <sheet name="06_Dự án" sheetId="7" r:id="rId7"/>
  </sheets>
  <definedNames>
    <definedName name="_xlnm.Print_Area" localSheetId="0">'00_Tổng hợp'!$A$1:$F$89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1" i="4" l="1"/>
  <c r="J275" i="4"/>
  <c r="I212" i="4"/>
  <c r="I75" i="4"/>
  <c r="B271" i="4"/>
  <c r="C271" i="4"/>
  <c r="D271" i="4"/>
  <c r="B272" i="4"/>
  <c r="C272" i="4"/>
  <c r="D272" i="4"/>
  <c r="B273" i="4"/>
  <c r="C25" i="7"/>
  <c r="C273" i="4" s="1"/>
  <c r="D25" i="7"/>
  <c r="D273" i="4" s="1"/>
  <c r="C7" i="1"/>
  <c r="B264" i="4"/>
  <c r="W216" i="4"/>
  <c r="V216" i="4"/>
  <c r="U216" i="4"/>
  <c r="T216" i="4"/>
  <c r="S216" i="4"/>
  <c r="R216" i="4"/>
  <c r="Q216" i="4"/>
  <c r="P216" i="4"/>
  <c r="O216" i="4"/>
  <c r="N216" i="4"/>
  <c r="M216" i="4"/>
  <c r="L216" i="4"/>
  <c r="K216" i="4"/>
  <c r="J216" i="4"/>
  <c r="I216" i="4"/>
  <c r="H216" i="4"/>
  <c r="D216" i="4"/>
  <c r="C216" i="4"/>
  <c r="B216" i="4"/>
  <c r="D49" i="4"/>
  <c r="C49" i="4"/>
  <c r="B49" i="4"/>
  <c r="D48" i="4"/>
  <c r="C48" i="4"/>
  <c r="R48" i="4" s="1"/>
  <c r="B48" i="4"/>
  <c r="D47" i="4"/>
  <c r="C47" i="4"/>
  <c r="B47" i="4"/>
  <c r="D46" i="4"/>
  <c r="C46" i="4"/>
  <c r="B46" i="4"/>
  <c r="G21" i="7"/>
  <c r="B48" i="5"/>
  <c r="W182" i="4"/>
  <c r="W158" i="4"/>
  <c r="W134" i="4"/>
  <c r="W110" i="4"/>
  <c r="E20" i="7"/>
  <c r="E8" i="7"/>
  <c r="E7" i="7"/>
  <c r="E6" i="7"/>
  <c r="F52" i="6"/>
  <c r="D42" i="6"/>
  <c r="C42" i="6"/>
  <c r="B42" i="6"/>
  <c r="D31" i="6"/>
  <c r="C31" i="6"/>
  <c r="B31" i="6"/>
  <c r="B12" i="6"/>
  <c r="B47" i="5"/>
  <c r="B44" i="5"/>
  <c r="B40" i="5"/>
  <c r="B39" i="5"/>
  <c r="B38" i="5"/>
  <c r="B37" i="5"/>
  <c r="B36" i="5"/>
  <c r="B35" i="5"/>
  <c r="B34" i="5"/>
  <c r="E255" i="4"/>
  <c r="E254" i="4"/>
  <c r="E253" i="4"/>
  <c r="E252" i="4"/>
  <c r="E251" i="4"/>
  <c r="I213" i="4"/>
  <c r="V182" i="4"/>
  <c r="U182" i="4"/>
  <c r="T182" i="4"/>
  <c r="S182" i="4"/>
  <c r="R182" i="4"/>
  <c r="Q182" i="4"/>
  <c r="P182" i="4"/>
  <c r="O182" i="4"/>
  <c r="N182" i="4"/>
  <c r="M182" i="4"/>
  <c r="L182" i="4"/>
  <c r="K182" i="4"/>
  <c r="J182" i="4"/>
  <c r="I182" i="4"/>
  <c r="H182" i="4"/>
  <c r="D182" i="4"/>
  <c r="C182" i="4"/>
  <c r="B182" i="4"/>
  <c r="V158" i="4"/>
  <c r="U158" i="4"/>
  <c r="T158" i="4"/>
  <c r="S158" i="4"/>
  <c r="R158" i="4"/>
  <c r="Q158" i="4"/>
  <c r="P158" i="4"/>
  <c r="O158" i="4"/>
  <c r="N158" i="4"/>
  <c r="M158" i="4"/>
  <c r="L158" i="4"/>
  <c r="K158" i="4"/>
  <c r="J158" i="4"/>
  <c r="I158" i="4"/>
  <c r="H158" i="4"/>
  <c r="D158" i="4"/>
  <c r="C158" i="4"/>
  <c r="B158" i="4"/>
  <c r="V134" i="4"/>
  <c r="U134" i="4"/>
  <c r="T134" i="4"/>
  <c r="S134" i="4"/>
  <c r="R134" i="4"/>
  <c r="Q134" i="4"/>
  <c r="P134" i="4"/>
  <c r="O134" i="4"/>
  <c r="N134" i="4"/>
  <c r="M134" i="4"/>
  <c r="L134" i="4"/>
  <c r="K134" i="4"/>
  <c r="J134" i="4"/>
  <c r="I134" i="4"/>
  <c r="H134" i="4"/>
  <c r="D134" i="4"/>
  <c r="C134" i="4"/>
  <c r="B134" i="4"/>
  <c r="V110" i="4"/>
  <c r="U110" i="4"/>
  <c r="T110" i="4"/>
  <c r="S110" i="4"/>
  <c r="R110" i="4"/>
  <c r="Q110" i="4"/>
  <c r="P110" i="4"/>
  <c r="O110" i="4"/>
  <c r="N110" i="4"/>
  <c r="M110" i="4"/>
  <c r="L110" i="4"/>
  <c r="K110" i="4"/>
  <c r="J110" i="4"/>
  <c r="I110" i="4"/>
  <c r="H110" i="4"/>
  <c r="D110" i="4"/>
  <c r="C110" i="4"/>
  <c r="B110" i="4"/>
  <c r="D42" i="4"/>
  <c r="C42" i="4"/>
  <c r="W42" i="4" s="1"/>
  <c r="B42" i="4"/>
  <c r="D40" i="4"/>
  <c r="C40" i="4"/>
  <c r="B40" i="4"/>
  <c r="D39" i="4"/>
  <c r="C39" i="4"/>
  <c r="W39" i="4" s="1"/>
  <c r="B39" i="4"/>
  <c r="D38" i="4"/>
  <c r="C38" i="4"/>
  <c r="W38" i="4" s="1"/>
  <c r="B38" i="4"/>
  <c r="D37" i="4"/>
  <c r="C37" i="4"/>
  <c r="W37" i="4" s="1"/>
  <c r="B37" i="4"/>
  <c r="D36" i="4"/>
  <c r="C36" i="4"/>
  <c r="W36" i="4" s="1"/>
  <c r="B36" i="4"/>
  <c r="D35" i="4"/>
  <c r="C35" i="4"/>
  <c r="W35" i="4" s="1"/>
  <c r="B35" i="4"/>
  <c r="D34" i="4"/>
  <c r="C34" i="4"/>
  <c r="W34" i="4" s="1"/>
  <c r="B34" i="4"/>
  <c r="D33" i="4"/>
  <c r="C33" i="4"/>
  <c r="W33" i="4" s="1"/>
  <c r="B33" i="4"/>
  <c r="D32" i="4"/>
  <c r="C32" i="4"/>
  <c r="W32" i="4" s="1"/>
  <c r="B32" i="4"/>
  <c r="D31" i="4"/>
  <c r="C31" i="4"/>
  <c r="W31" i="4" s="1"/>
  <c r="B31" i="4"/>
  <c r="D30" i="4"/>
  <c r="C30" i="4"/>
  <c r="W30" i="4" s="1"/>
  <c r="B30" i="4"/>
  <c r="D29" i="4"/>
  <c r="C29" i="4"/>
  <c r="B29" i="4"/>
  <c r="D28" i="4"/>
  <c r="C28" i="4"/>
  <c r="W28" i="4" s="1"/>
  <c r="B28" i="4"/>
  <c r="D27" i="4"/>
  <c r="C27" i="4"/>
  <c r="B27" i="4"/>
  <c r="D26" i="4"/>
  <c r="C26" i="4"/>
  <c r="W26" i="4" s="1"/>
  <c r="B26" i="4"/>
  <c r="D25" i="4"/>
  <c r="C25" i="4"/>
  <c r="W25" i="4" s="1"/>
  <c r="B25" i="4"/>
  <c r="D24" i="4"/>
  <c r="C24" i="4"/>
  <c r="W24" i="4" s="1"/>
  <c r="B24" i="4"/>
  <c r="D23" i="4"/>
  <c r="C23" i="4"/>
  <c r="W23" i="4" s="1"/>
  <c r="B23" i="4"/>
  <c r="D22" i="4"/>
  <c r="C22" i="4"/>
  <c r="B22" i="4"/>
  <c r="D21" i="4"/>
  <c r="C21" i="4"/>
  <c r="W21" i="4" s="1"/>
  <c r="B21" i="4"/>
  <c r="D20" i="4"/>
  <c r="C20" i="4"/>
  <c r="W20" i="4" s="1"/>
  <c r="B20" i="4"/>
  <c r="D19" i="4"/>
  <c r="C19" i="4"/>
  <c r="W19" i="4" s="1"/>
  <c r="B19" i="4"/>
  <c r="D18" i="4"/>
  <c r="C18" i="4"/>
  <c r="W18" i="4" s="1"/>
  <c r="B18" i="4"/>
  <c r="D17" i="4"/>
  <c r="C17" i="4"/>
  <c r="W17" i="4" s="1"/>
  <c r="B17" i="4"/>
  <c r="D16" i="4"/>
  <c r="C16" i="4"/>
  <c r="W16" i="4" s="1"/>
  <c r="B16" i="4"/>
  <c r="D15" i="4"/>
  <c r="C15" i="4"/>
  <c r="W15" i="4" s="1"/>
  <c r="B15" i="4"/>
  <c r="D14" i="4"/>
  <c r="C14" i="4"/>
  <c r="W14" i="4" s="1"/>
  <c r="B14" i="4"/>
  <c r="D13" i="4"/>
  <c r="C13" i="4"/>
  <c r="W13" i="4" s="1"/>
  <c r="B13" i="4"/>
  <c r="T12" i="4"/>
  <c r="B45" i="5" s="1"/>
  <c r="D12" i="4"/>
  <c r="C12" i="4"/>
  <c r="W12" i="4" s="1"/>
  <c r="B12" i="4"/>
  <c r="D11" i="4"/>
  <c r="C11" i="4"/>
  <c r="W11" i="4" s="1"/>
  <c r="B11" i="4"/>
  <c r="D10" i="4"/>
  <c r="C10" i="4"/>
  <c r="W10" i="4" s="1"/>
  <c r="B10" i="4"/>
  <c r="D9" i="4"/>
  <c r="C9" i="4"/>
  <c r="W9" i="4" s="1"/>
  <c r="B9" i="4"/>
  <c r="D8" i="4"/>
  <c r="C8" i="4"/>
  <c r="W8" i="4" s="1"/>
  <c r="B8" i="4"/>
  <c r="D7" i="4"/>
  <c r="C7" i="4"/>
  <c r="W7" i="4" s="1"/>
  <c r="B7" i="4"/>
  <c r="D6" i="4"/>
  <c r="C6" i="4"/>
  <c r="W6" i="4" s="1"/>
  <c r="B6" i="4"/>
  <c r="E77" i="3"/>
  <c r="E72" i="3"/>
  <c r="B49" i="3"/>
  <c r="B47" i="3"/>
  <c r="C44" i="3"/>
  <c r="B29" i="3"/>
  <c r="B24" i="3"/>
  <c r="C24" i="3" s="1"/>
  <c r="B11" i="3"/>
  <c r="B10" i="3"/>
  <c r="B54" i="3" s="1"/>
  <c r="B143" i="2"/>
  <c r="E78" i="3" s="1"/>
  <c r="E134" i="2"/>
  <c r="D102" i="2"/>
  <c r="C102" i="2"/>
  <c r="D101" i="2"/>
  <c r="C101" i="2"/>
  <c r="D100" i="2"/>
  <c r="C100" i="2"/>
  <c r="D99" i="2"/>
  <c r="C99" i="2"/>
  <c r="D98" i="2"/>
  <c r="C98" i="2"/>
  <c r="D97" i="2"/>
  <c r="E97" i="2" s="1"/>
  <c r="D96" i="2"/>
  <c r="E96" i="2" s="1"/>
  <c r="D95" i="2"/>
  <c r="E95" i="2" s="1"/>
  <c r="F88" i="2"/>
  <c r="E88" i="2"/>
  <c r="D88" i="2"/>
  <c r="C88" i="2"/>
  <c r="B88" i="2"/>
  <c r="F87" i="2"/>
  <c r="E87" i="2"/>
  <c r="D87" i="2"/>
  <c r="C87" i="2"/>
  <c r="B87" i="2"/>
  <c r="F84" i="2"/>
  <c r="E84" i="2"/>
  <c r="D84" i="2"/>
  <c r="C84" i="2"/>
  <c r="B84" i="2"/>
  <c r="D83" i="2"/>
  <c r="C83" i="2"/>
  <c r="B83" i="2"/>
  <c r="C71" i="2"/>
  <c r="B71" i="2"/>
  <c r="C64" i="2"/>
  <c r="B64" i="2"/>
  <c r="C63" i="2"/>
  <c r="B63" i="2"/>
  <c r="H54" i="2"/>
  <c r="H53" i="2"/>
  <c r="H52" i="2"/>
  <c r="H51" i="2"/>
  <c r="E103" i="2" s="1"/>
  <c r="H50" i="2"/>
  <c r="H49" i="2"/>
  <c r="H48" i="2"/>
  <c r="H47" i="2"/>
  <c r="G46" i="2"/>
  <c r="F46" i="2"/>
  <c r="E46" i="2"/>
  <c r="D46" i="2"/>
  <c r="C46" i="2"/>
  <c r="B46" i="2"/>
  <c r="H45" i="2"/>
  <c r="B34" i="3" s="1"/>
  <c r="H44" i="2"/>
  <c r="B33" i="3" s="1"/>
  <c r="H43" i="2"/>
  <c r="H42" i="2"/>
  <c r="B30" i="3" s="1"/>
  <c r="F38" i="2"/>
  <c r="E38" i="2"/>
  <c r="D38" i="2"/>
  <c r="C38" i="2"/>
  <c r="B38" i="2"/>
  <c r="F37" i="2"/>
  <c r="E37" i="2"/>
  <c r="D37" i="2"/>
  <c r="C37" i="2"/>
  <c r="B37" i="2"/>
  <c r="F24" i="2"/>
  <c r="F36" i="2" s="1"/>
  <c r="E24" i="2"/>
  <c r="E36" i="2" s="1"/>
  <c r="D24" i="2"/>
  <c r="D36" i="2" s="1"/>
  <c r="C24" i="2"/>
  <c r="C36" i="2" s="1"/>
  <c r="B24" i="2"/>
  <c r="B36" i="2" s="1"/>
  <c r="B10" i="2"/>
  <c r="D10" i="2" s="1"/>
  <c r="B8" i="2"/>
  <c r="C52" i="1"/>
  <c r="B50" i="1"/>
  <c r="F20" i="1"/>
  <c r="B20" i="1"/>
  <c r="E15" i="1"/>
  <c r="E14" i="1"/>
  <c r="E13" i="1"/>
  <c r="E12" i="1"/>
  <c r="E11" i="1"/>
  <c r="B7" i="1"/>
  <c r="B6" i="1"/>
  <c r="T271" i="4" l="1"/>
  <c r="Q271" i="4"/>
  <c r="S271" i="4"/>
  <c r="W271" i="4"/>
  <c r="R271" i="4"/>
  <c r="V271" i="4"/>
  <c r="U271" i="4"/>
  <c r="P271" i="4"/>
  <c r="O271" i="4"/>
  <c r="N271" i="4"/>
  <c r="M271" i="4"/>
  <c r="L271" i="4"/>
  <c r="K271" i="4"/>
  <c r="J271" i="4"/>
  <c r="I271" i="4"/>
  <c r="T272" i="4"/>
  <c r="R272" i="4"/>
  <c r="O272" i="4"/>
  <c r="M272" i="4"/>
  <c r="J272" i="4"/>
  <c r="I272" i="4"/>
  <c r="V272" i="4"/>
  <c r="P272" i="4"/>
  <c r="W272" i="4"/>
  <c r="U272" i="4"/>
  <c r="S272" i="4"/>
  <c r="Q272" i="4"/>
  <c r="N272" i="4"/>
  <c r="L272" i="4"/>
  <c r="K272" i="4"/>
  <c r="I273" i="4"/>
  <c r="K273" i="4"/>
  <c r="L273" i="4"/>
  <c r="M273" i="4"/>
  <c r="N273" i="4"/>
  <c r="P273" i="4"/>
  <c r="Q273" i="4"/>
  <c r="R273" i="4"/>
  <c r="S273" i="4"/>
  <c r="T273" i="4"/>
  <c r="U273" i="4"/>
  <c r="V273" i="4"/>
  <c r="W273" i="4"/>
  <c r="J273" i="4"/>
  <c r="O273" i="4"/>
  <c r="H273" i="4"/>
  <c r="D313" i="4"/>
  <c r="D277" i="4"/>
  <c r="D138" i="4" s="1"/>
  <c r="D276" i="4"/>
  <c r="D114" i="4" s="1"/>
  <c r="D312" i="4"/>
  <c r="D311" i="4"/>
  <c r="D275" i="4"/>
  <c r="D90" i="4" s="1"/>
  <c r="W29" i="4"/>
  <c r="C313" i="4"/>
  <c r="C312" i="4"/>
  <c r="C277" i="4"/>
  <c r="C138" i="4" s="1"/>
  <c r="C311" i="4"/>
  <c r="C275" i="4"/>
  <c r="C90" i="4" s="1"/>
  <c r="C276" i="4"/>
  <c r="C114" i="4" s="1"/>
  <c r="B313" i="4"/>
  <c r="B276" i="4"/>
  <c r="B114" i="4" s="1"/>
  <c r="B278" i="4"/>
  <c r="B162" i="4" s="1"/>
  <c r="B315" i="4"/>
  <c r="B314" i="4"/>
  <c r="B277" i="4"/>
  <c r="B138" i="4" s="1"/>
  <c r="B311" i="4"/>
  <c r="B275" i="4"/>
  <c r="B90" i="4" s="1"/>
  <c r="B312" i="4"/>
  <c r="B279" i="4"/>
  <c r="B186" i="4" s="1"/>
  <c r="B75" i="4"/>
  <c r="B37" i="7" s="1"/>
  <c r="C75" i="4"/>
  <c r="C37" i="7" s="1"/>
  <c r="H271" i="4"/>
  <c r="D75" i="4"/>
  <c r="D37" i="7" s="1"/>
  <c r="B308" i="4"/>
  <c r="B344" i="4"/>
  <c r="B295" i="4"/>
  <c r="B325" i="4"/>
  <c r="B343" i="4"/>
  <c r="B297" i="4"/>
  <c r="B330" i="4"/>
  <c r="B342" i="4"/>
  <c r="B300" i="4"/>
  <c r="B287" i="4"/>
  <c r="B341" i="4"/>
  <c r="B302" i="4"/>
  <c r="B320" i="4"/>
  <c r="B340" i="4"/>
  <c r="B280" i="4"/>
  <c r="B329" i="4"/>
  <c r="B339" i="4"/>
  <c r="B281" i="4"/>
  <c r="B316" i="4"/>
  <c r="B338" i="4"/>
  <c r="B288" i="4"/>
  <c r="B323" i="4"/>
  <c r="B337" i="4"/>
  <c r="B293" i="4"/>
  <c r="B328" i="4"/>
  <c r="B336" i="4"/>
  <c r="B296" i="4"/>
  <c r="B317" i="4"/>
  <c r="B335" i="4"/>
  <c r="B298" i="4"/>
  <c r="B324" i="4"/>
  <c r="B334" i="4"/>
  <c r="B292" i="4"/>
  <c r="B299" i="4"/>
  <c r="B289" i="4"/>
  <c r="B327" i="4"/>
  <c r="B286" i="4"/>
  <c r="B285" i="4"/>
  <c r="B318" i="4"/>
  <c r="B301" i="4"/>
  <c r="B303" i="4"/>
  <c r="B321" i="4"/>
  <c r="B294" i="4"/>
  <c r="B304" i="4"/>
  <c r="B290" i="4"/>
  <c r="B305" i="4"/>
  <c r="B326" i="4"/>
  <c r="B333" i="4"/>
  <c r="B306" i="4"/>
  <c r="B319" i="4"/>
  <c r="B332" i="4"/>
  <c r="B307" i="4"/>
  <c r="B322" i="4"/>
  <c r="B331" i="4"/>
  <c r="B291" i="4"/>
  <c r="B284" i="4"/>
  <c r="B283" i="4"/>
  <c r="B282" i="4"/>
  <c r="C340" i="4"/>
  <c r="C339" i="4"/>
  <c r="C338" i="4"/>
  <c r="C337" i="4"/>
  <c r="C336" i="4"/>
  <c r="C335" i="4"/>
  <c r="C334" i="4"/>
  <c r="C287" i="4"/>
  <c r="C283" i="4"/>
  <c r="C279" i="4"/>
  <c r="C186" i="4" s="1"/>
  <c r="C333" i="4"/>
  <c r="C332" i="4"/>
  <c r="C331" i="4"/>
  <c r="C330" i="4"/>
  <c r="C329" i="4"/>
  <c r="C328" i="4"/>
  <c r="C327" i="4"/>
  <c r="C326" i="4"/>
  <c r="C325" i="4"/>
  <c r="C324" i="4"/>
  <c r="C323" i="4"/>
  <c r="C322" i="4"/>
  <c r="C321" i="4"/>
  <c r="C320" i="4"/>
  <c r="C319" i="4"/>
  <c r="C318" i="4"/>
  <c r="C317" i="4"/>
  <c r="C316" i="4"/>
  <c r="C315" i="4"/>
  <c r="C314" i="4"/>
  <c r="C291" i="4"/>
  <c r="C280" i="4"/>
  <c r="C278" i="4"/>
  <c r="C162" i="4" s="1"/>
  <c r="C308" i="4"/>
  <c r="C307" i="4"/>
  <c r="C306" i="4"/>
  <c r="C305" i="4"/>
  <c r="C304" i="4"/>
  <c r="C302" i="4"/>
  <c r="C300" i="4"/>
  <c r="C297" i="4"/>
  <c r="C295" i="4"/>
  <c r="C290" i="4"/>
  <c r="C289" i="4"/>
  <c r="C284" i="4"/>
  <c r="C282" i="4"/>
  <c r="H272" i="4"/>
  <c r="C303" i="4"/>
  <c r="C301" i="4"/>
  <c r="C299" i="4"/>
  <c r="C298" i="4"/>
  <c r="C296" i="4"/>
  <c r="C294" i="4"/>
  <c r="C293" i="4"/>
  <c r="C292" i="4"/>
  <c r="C344" i="4"/>
  <c r="C288" i="4"/>
  <c r="C286" i="4"/>
  <c r="C285" i="4"/>
  <c r="C343" i="4"/>
  <c r="C342" i="4"/>
  <c r="C341" i="4"/>
  <c r="C281" i="4"/>
  <c r="D304" i="4"/>
  <c r="D327" i="4"/>
  <c r="D278" i="4"/>
  <c r="D162" i="4" s="1"/>
  <c r="D280" i="4"/>
  <c r="D316" i="4"/>
  <c r="D301" i="4"/>
  <c r="D281" i="4"/>
  <c r="D321" i="4"/>
  <c r="D299" i="4"/>
  <c r="D290" i="4"/>
  <c r="D334" i="4"/>
  <c r="D328" i="4"/>
  <c r="D296" i="4"/>
  <c r="D335" i="4"/>
  <c r="D315" i="4"/>
  <c r="D294" i="4"/>
  <c r="D293" i="4"/>
  <c r="D336" i="4"/>
  <c r="D292" i="4"/>
  <c r="D291" i="4"/>
  <c r="D324" i="4"/>
  <c r="D314" i="4"/>
  <c r="D288" i="4"/>
  <c r="D337" i="4"/>
  <c r="D286" i="4"/>
  <c r="D285" i="4"/>
  <c r="D319" i="4"/>
  <c r="D283" i="4"/>
  <c r="D322" i="4"/>
  <c r="D338" i="4"/>
  <c r="D339" i="4"/>
  <c r="D329" i="4"/>
  <c r="D303" i="4"/>
  <c r="D284" i="4"/>
  <c r="D302" i="4"/>
  <c r="D340" i="4"/>
  <c r="D282" i="4"/>
  <c r="D300" i="4"/>
  <c r="D341" i="4"/>
  <c r="D325" i="4"/>
  <c r="D298" i="4"/>
  <c r="D318" i="4"/>
  <c r="D297" i="4"/>
  <c r="D342" i="4"/>
  <c r="D308" i="4"/>
  <c r="D295" i="4"/>
  <c r="D343" i="4"/>
  <c r="D323" i="4"/>
  <c r="D344" i="4"/>
  <c r="D330" i="4"/>
  <c r="D307" i="4"/>
  <c r="D326" i="4"/>
  <c r="D289" i="4"/>
  <c r="D331" i="4"/>
  <c r="D287" i="4"/>
  <c r="D306" i="4"/>
  <c r="D317" i="4"/>
  <c r="D332" i="4"/>
  <c r="D305" i="4"/>
  <c r="D320" i="4"/>
  <c r="D333" i="4"/>
  <c r="D279" i="4"/>
  <c r="D186" i="4" s="1"/>
  <c r="R49" i="4"/>
  <c r="T49" i="4"/>
  <c r="W49" i="4"/>
  <c r="V49" i="4"/>
  <c r="U49" i="4"/>
  <c r="S49" i="4"/>
  <c r="Q49" i="4"/>
  <c r="O49" i="4"/>
  <c r="N49" i="4"/>
  <c r="P49" i="4"/>
  <c r="W27" i="4"/>
  <c r="W22" i="4"/>
  <c r="A61" i="5"/>
  <c r="A62" i="5"/>
  <c r="A63" i="5"/>
  <c r="A58" i="5"/>
  <c r="A59" i="5"/>
  <c r="A60" i="5"/>
  <c r="C50" i="4"/>
  <c r="B50" i="4"/>
  <c r="B234" i="4" s="1"/>
  <c r="D50" i="4"/>
  <c r="D234" i="4" s="1"/>
  <c r="B13" i="6"/>
  <c r="W50" i="4"/>
  <c r="W234" i="4" s="1"/>
  <c r="V50" i="4"/>
  <c r="V234" i="4" s="1"/>
  <c r="M49" i="4"/>
  <c r="L49" i="4"/>
  <c r="K49" i="4"/>
  <c r="J49" i="4"/>
  <c r="I49" i="4"/>
  <c r="H49" i="4"/>
  <c r="V48" i="4"/>
  <c r="U48" i="4"/>
  <c r="T48" i="4"/>
  <c r="S48" i="4"/>
  <c r="Q48" i="4"/>
  <c r="P48" i="4"/>
  <c r="O48" i="4"/>
  <c r="N48" i="4"/>
  <c r="M48" i="4"/>
  <c r="L48" i="4"/>
  <c r="K48" i="4"/>
  <c r="J48" i="4"/>
  <c r="I48" i="4"/>
  <c r="H48" i="4"/>
  <c r="W48" i="4"/>
  <c r="V47" i="4"/>
  <c r="U47" i="4"/>
  <c r="T47" i="4"/>
  <c r="S47" i="4"/>
  <c r="R47" i="4"/>
  <c r="Q47" i="4"/>
  <c r="P47" i="4"/>
  <c r="O47" i="4"/>
  <c r="N47" i="4"/>
  <c r="M47" i="4"/>
  <c r="L47" i="4"/>
  <c r="K47" i="4"/>
  <c r="J47" i="4"/>
  <c r="I47" i="4"/>
  <c r="H47" i="4"/>
  <c r="W47" i="4"/>
  <c r="V46" i="4"/>
  <c r="U46" i="4"/>
  <c r="T46" i="4"/>
  <c r="S46" i="4"/>
  <c r="R46" i="4"/>
  <c r="Q46" i="4"/>
  <c r="P46" i="4"/>
  <c r="W46" i="4"/>
  <c r="N46" i="4"/>
  <c r="M46" i="4"/>
  <c r="L46" i="4"/>
  <c r="K46" i="4"/>
  <c r="J46" i="4"/>
  <c r="I46" i="4"/>
  <c r="H46" i="4"/>
  <c r="O46" i="4"/>
  <c r="B31" i="3"/>
  <c r="E61" i="3" s="1"/>
  <c r="E68" i="3"/>
  <c r="W73" i="4"/>
  <c r="B73" i="4"/>
  <c r="B35" i="7" s="1"/>
  <c r="E100" i="2"/>
  <c r="E99" i="2"/>
  <c r="I36" i="2"/>
  <c r="B65" i="2"/>
  <c r="B73" i="2" s="1"/>
  <c r="D67" i="4"/>
  <c r="W67" i="4"/>
  <c r="B67" i="4"/>
  <c r="E101" i="2"/>
  <c r="D73" i="4"/>
  <c r="D35" i="7" s="1"/>
  <c r="I72" i="2"/>
  <c r="W65" i="4"/>
  <c r="W66" i="4" s="1"/>
  <c r="W86" i="4" s="1"/>
  <c r="W69" i="4"/>
  <c r="W98" i="4"/>
  <c r="W122" i="4"/>
  <c r="W146" i="4"/>
  <c r="W194" i="4"/>
  <c r="W170" i="4"/>
  <c r="W80" i="4"/>
  <c r="W104" i="4"/>
  <c r="W128" i="4"/>
  <c r="W176" i="4"/>
  <c r="W152" i="4"/>
  <c r="W55" i="4"/>
  <c r="W45" i="4"/>
  <c r="W44" i="4"/>
  <c r="C65" i="2"/>
  <c r="E98" i="2"/>
  <c r="E102" i="2"/>
  <c r="B55" i="4"/>
  <c r="B48" i="3"/>
  <c r="B55" i="3"/>
  <c r="D55" i="4"/>
  <c r="F48" i="7"/>
  <c r="E48" i="7"/>
  <c r="D48" i="7"/>
  <c r="C48" i="7"/>
  <c r="T42" i="4"/>
  <c r="U42" i="4"/>
  <c r="V42" i="4"/>
  <c r="H42" i="4"/>
  <c r="I42" i="4"/>
  <c r="J42" i="4"/>
  <c r="K42" i="4"/>
  <c r="L42" i="4"/>
  <c r="M42" i="4"/>
  <c r="N42" i="4"/>
  <c r="O42" i="4"/>
  <c r="P42" i="4"/>
  <c r="Q42" i="4"/>
  <c r="R42" i="4"/>
  <c r="S42" i="4"/>
  <c r="S40" i="4"/>
  <c r="R40" i="4"/>
  <c r="Q40" i="4"/>
  <c r="P40" i="4"/>
  <c r="O40" i="4"/>
  <c r="N40" i="4"/>
  <c r="M40" i="4"/>
  <c r="L40" i="4"/>
  <c r="K40" i="4"/>
  <c r="J40" i="4"/>
  <c r="I40" i="4"/>
  <c r="H40" i="4"/>
  <c r="U40" i="4"/>
  <c r="V40" i="4"/>
  <c r="T40" i="4"/>
  <c r="S39" i="4"/>
  <c r="R39" i="4"/>
  <c r="O39" i="4"/>
  <c r="H39" i="4"/>
  <c r="I39" i="4"/>
  <c r="J39" i="4"/>
  <c r="K39" i="4"/>
  <c r="Q39" i="4"/>
  <c r="M39" i="4"/>
  <c r="N39" i="4"/>
  <c r="P39" i="4"/>
  <c r="L39" i="4"/>
  <c r="V39" i="4"/>
  <c r="U39" i="4"/>
  <c r="T39" i="4"/>
  <c r="O38" i="4"/>
  <c r="M38" i="4"/>
  <c r="T38" i="4"/>
  <c r="L38" i="4"/>
  <c r="K38" i="4"/>
  <c r="J38" i="4"/>
  <c r="H38" i="4"/>
  <c r="Q38" i="4"/>
  <c r="I38" i="4"/>
  <c r="S38" i="4"/>
  <c r="R38" i="4"/>
  <c r="U38" i="4"/>
  <c r="P38" i="4"/>
  <c r="N38" i="4"/>
  <c r="V38" i="4"/>
  <c r="V37" i="4"/>
  <c r="U37" i="4"/>
  <c r="M37" i="4"/>
  <c r="S37" i="4"/>
  <c r="J37" i="4"/>
  <c r="K37" i="4"/>
  <c r="I37" i="4"/>
  <c r="R37" i="4"/>
  <c r="T37" i="4"/>
  <c r="H37" i="4"/>
  <c r="N37" i="4"/>
  <c r="Q37" i="4"/>
  <c r="L37" i="4"/>
  <c r="P37" i="4"/>
  <c r="O37" i="4"/>
  <c r="V36" i="4"/>
  <c r="K36" i="4"/>
  <c r="L36" i="4"/>
  <c r="J36" i="4"/>
  <c r="M36" i="4"/>
  <c r="N36" i="4"/>
  <c r="O36" i="4"/>
  <c r="P36" i="4"/>
  <c r="S36" i="4"/>
  <c r="T36" i="4"/>
  <c r="Q36" i="4"/>
  <c r="H36" i="4"/>
  <c r="R36" i="4"/>
  <c r="U36" i="4"/>
  <c r="I36" i="4"/>
  <c r="M35" i="4"/>
  <c r="O35" i="4"/>
  <c r="P35" i="4"/>
  <c r="H35" i="4"/>
  <c r="I35" i="4"/>
  <c r="N35" i="4"/>
  <c r="Q35" i="4"/>
  <c r="R35" i="4"/>
  <c r="S35" i="4"/>
  <c r="T35" i="4"/>
  <c r="U35" i="4"/>
  <c r="V35" i="4"/>
  <c r="J35" i="4"/>
  <c r="K35" i="4"/>
  <c r="L35" i="4"/>
  <c r="U34" i="4"/>
  <c r="M34" i="4"/>
  <c r="L34" i="4"/>
  <c r="J34" i="4"/>
  <c r="K34" i="4"/>
  <c r="I34" i="4"/>
  <c r="N34" i="4"/>
  <c r="O34" i="4"/>
  <c r="P34" i="4"/>
  <c r="Q34" i="4"/>
  <c r="R34" i="4"/>
  <c r="S34" i="4"/>
  <c r="T34" i="4"/>
  <c r="V34" i="4"/>
  <c r="H34" i="4"/>
  <c r="U33" i="4"/>
  <c r="L33" i="4"/>
  <c r="K33" i="4"/>
  <c r="J33" i="4"/>
  <c r="I33" i="4"/>
  <c r="S33" i="4"/>
  <c r="H33" i="4"/>
  <c r="R33" i="4"/>
  <c r="T33" i="4"/>
  <c r="Q33" i="4"/>
  <c r="P33" i="4"/>
  <c r="O33" i="4"/>
  <c r="M33" i="4"/>
  <c r="N32" i="4"/>
  <c r="P32" i="4"/>
  <c r="Q32" i="4"/>
  <c r="R32" i="4"/>
  <c r="T32" i="4"/>
  <c r="U32" i="4"/>
  <c r="V32" i="4"/>
  <c r="S32" i="4"/>
  <c r="O32" i="4"/>
  <c r="H32" i="4"/>
  <c r="I32" i="4"/>
  <c r="J32" i="4"/>
  <c r="K32" i="4"/>
  <c r="L32" i="4"/>
  <c r="D44" i="4"/>
  <c r="D45" i="4"/>
  <c r="M31" i="4"/>
  <c r="O31" i="4"/>
  <c r="P31" i="4"/>
  <c r="Q31" i="4"/>
  <c r="L31" i="4"/>
  <c r="N31" i="4"/>
  <c r="R31" i="4"/>
  <c r="S31" i="4"/>
  <c r="V31" i="4"/>
  <c r="T31" i="4"/>
  <c r="U31" i="4"/>
  <c r="C44" i="4"/>
  <c r="C45" i="4"/>
  <c r="H31" i="4"/>
  <c r="I31" i="4"/>
  <c r="J31" i="4"/>
  <c r="K31" i="4"/>
  <c r="B44" i="4"/>
  <c r="B45" i="4"/>
  <c r="S30" i="4"/>
  <c r="R30" i="4"/>
  <c r="P30" i="4"/>
  <c r="V30" i="4"/>
  <c r="O30" i="4"/>
  <c r="N30" i="4"/>
  <c r="Q30" i="4"/>
  <c r="M30" i="4"/>
  <c r="L30" i="4"/>
  <c r="K30" i="4"/>
  <c r="I30" i="4"/>
  <c r="J30" i="4"/>
  <c r="U30" i="4"/>
  <c r="T30" i="4"/>
  <c r="H30" i="4"/>
  <c r="L29" i="4"/>
  <c r="K29" i="4"/>
  <c r="I29" i="4"/>
  <c r="H29" i="4"/>
  <c r="V29" i="4"/>
  <c r="U29" i="4"/>
  <c r="T29" i="4"/>
  <c r="S29" i="4"/>
  <c r="R29" i="4"/>
  <c r="Q29" i="4"/>
  <c r="P29" i="4"/>
  <c r="O29" i="4"/>
  <c r="N29" i="4"/>
  <c r="M29" i="4"/>
  <c r="S28" i="4"/>
  <c r="L28" i="4"/>
  <c r="K28" i="4"/>
  <c r="V28" i="4"/>
  <c r="U28" i="4"/>
  <c r="T28" i="4"/>
  <c r="J28" i="4"/>
  <c r="R28" i="4"/>
  <c r="Q28" i="4"/>
  <c r="P28" i="4"/>
  <c r="O28" i="4"/>
  <c r="N28" i="4"/>
  <c r="M28" i="4"/>
  <c r="I28" i="4"/>
  <c r="I74" i="4" s="1"/>
  <c r="H28" i="4"/>
  <c r="D74" i="4"/>
  <c r="T27" i="4"/>
  <c r="O27" i="4"/>
  <c r="N27" i="4"/>
  <c r="M27" i="4"/>
  <c r="K27" i="4"/>
  <c r="J27" i="4"/>
  <c r="H27" i="4"/>
  <c r="V27" i="4"/>
  <c r="L27" i="4"/>
  <c r="P27" i="4"/>
  <c r="R27" i="4"/>
  <c r="C74" i="4"/>
  <c r="Q27" i="4"/>
  <c r="S27" i="4"/>
  <c r="U27" i="4"/>
  <c r="B74" i="4"/>
  <c r="V26" i="4"/>
  <c r="U26" i="4"/>
  <c r="C73" i="4"/>
  <c r="C35" i="7" s="1"/>
  <c r="L26" i="4"/>
  <c r="M26" i="4"/>
  <c r="N26" i="4"/>
  <c r="H26" i="4"/>
  <c r="I26" i="4"/>
  <c r="K26" i="4"/>
  <c r="P26" i="4"/>
  <c r="J26" i="4"/>
  <c r="O26" i="4"/>
  <c r="Q26" i="4"/>
  <c r="R26" i="4"/>
  <c r="S26" i="4"/>
  <c r="T26" i="4"/>
  <c r="P25" i="4"/>
  <c r="Q25" i="4"/>
  <c r="R25" i="4"/>
  <c r="S25" i="4"/>
  <c r="T25" i="4"/>
  <c r="U25" i="4"/>
  <c r="V25" i="4"/>
  <c r="K25" i="4"/>
  <c r="L25" i="4"/>
  <c r="M25" i="4"/>
  <c r="N25" i="4"/>
  <c r="O25" i="4"/>
  <c r="J25" i="4"/>
  <c r="I25" i="4"/>
  <c r="H25" i="4"/>
  <c r="S24" i="4"/>
  <c r="T24" i="4"/>
  <c r="L24" i="4"/>
  <c r="H24" i="4"/>
  <c r="R24" i="4"/>
  <c r="Q24" i="4"/>
  <c r="K24" i="4"/>
  <c r="P24" i="4"/>
  <c r="O24" i="4"/>
  <c r="I24" i="4"/>
  <c r="J24" i="4"/>
  <c r="N24" i="4"/>
  <c r="M24" i="4"/>
  <c r="V24" i="4"/>
  <c r="U24" i="4"/>
  <c r="Q23" i="4"/>
  <c r="P23" i="4"/>
  <c r="H23" i="4"/>
  <c r="I23" i="4"/>
  <c r="K23" i="4"/>
  <c r="O23" i="4"/>
  <c r="L23" i="4"/>
  <c r="M23" i="4"/>
  <c r="N23" i="4"/>
  <c r="J23" i="4"/>
  <c r="V23" i="4"/>
  <c r="U23" i="4"/>
  <c r="T23" i="4"/>
  <c r="S23" i="4"/>
  <c r="R23" i="4"/>
  <c r="C14" i="5"/>
  <c r="D14" i="5"/>
  <c r="F14" i="5"/>
  <c r="E14" i="5"/>
  <c r="B14" i="5"/>
  <c r="V22" i="4"/>
  <c r="U22" i="4"/>
  <c r="T22" i="4"/>
  <c r="S22" i="4"/>
  <c r="R22" i="4"/>
  <c r="Q22" i="4"/>
  <c r="P22" i="4"/>
  <c r="O22" i="4"/>
  <c r="N22" i="4"/>
  <c r="M22" i="4"/>
  <c r="K22" i="4"/>
  <c r="J22" i="4"/>
  <c r="I22" i="4"/>
  <c r="H22" i="4"/>
  <c r="A19" i="5"/>
  <c r="A18" i="5"/>
  <c r="A17" i="5"/>
  <c r="A16" i="5"/>
  <c r="A15" i="5"/>
  <c r="V21" i="4"/>
  <c r="U21" i="4"/>
  <c r="T21" i="4"/>
  <c r="S21" i="4"/>
  <c r="R21" i="4"/>
  <c r="Q21" i="4"/>
  <c r="P21" i="4"/>
  <c r="O21" i="4"/>
  <c r="N21" i="4"/>
  <c r="M21" i="4"/>
  <c r="L21" i="4"/>
  <c r="J21" i="4"/>
  <c r="I21" i="4"/>
  <c r="H21" i="4"/>
  <c r="I20" i="4"/>
  <c r="V20" i="4"/>
  <c r="U20" i="4"/>
  <c r="T20" i="4"/>
  <c r="S20" i="4"/>
  <c r="R20" i="4"/>
  <c r="Q20" i="4"/>
  <c r="P20" i="4"/>
  <c r="O20" i="4"/>
  <c r="N20" i="4"/>
  <c r="M20" i="4"/>
  <c r="L20" i="4"/>
  <c r="K20" i="4"/>
  <c r="J20" i="4"/>
  <c r="H20" i="4"/>
  <c r="K19" i="4"/>
  <c r="U19" i="4"/>
  <c r="V19" i="4"/>
  <c r="C67" i="4"/>
  <c r="H19" i="4"/>
  <c r="I19" i="4"/>
  <c r="J19" i="4"/>
  <c r="T19" i="4"/>
  <c r="L19" i="4"/>
  <c r="M19" i="4"/>
  <c r="N19" i="4"/>
  <c r="O19" i="4"/>
  <c r="P19" i="4"/>
  <c r="Q19" i="4"/>
  <c r="R19" i="4"/>
  <c r="S19" i="4"/>
  <c r="R18" i="4"/>
  <c r="S18" i="4"/>
  <c r="T18" i="4"/>
  <c r="U18" i="4"/>
  <c r="V18" i="4"/>
  <c r="M18" i="4"/>
  <c r="N18" i="4"/>
  <c r="O18" i="4"/>
  <c r="P18" i="4"/>
  <c r="Q18" i="4"/>
  <c r="H18" i="4"/>
  <c r="I18" i="4"/>
  <c r="J18" i="4"/>
  <c r="K18" i="4"/>
  <c r="L18" i="4"/>
  <c r="D69" i="4"/>
  <c r="D65" i="4"/>
  <c r="M17" i="4"/>
  <c r="L17" i="4"/>
  <c r="O17" i="4"/>
  <c r="N17" i="4"/>
  <c r="C69" i="4"/>
  <c r="P17" i="4"/>
  <c r="C65" i="4"/>
  <c r="Q17" i="4"/>
  <c r="R17" i="4"/>
  <c r="S17" i="4"/>
  <c r="T17" i="4"/>
  <c r="U17" i="4"/>
  <c r="V17" i="4"/>
  <c r="H17" i="4"/>
  <c r="I17" i="4"/>
  <c r="J17" i="4"/>
  <c r="K17" i="4"/>
  <c r="B69" i="4"/>
  <c r="B65" i="4"/>
  <c r="H16" i="4"/>
  <c r="I16" i="4"/>
  <c r="J16" i="4"/>
  <c r="K16" i="4"/>
  <c r="V16" i="4"/>
  <c r="M16" i="4"/>
  <c r="L16" i="4"/>
  <c r="N16" i="4"/>
  <c r="O16" i="4"/>
  <c r="P16" i="4"/>
  <c r="Q16" i="4"/>
  <c r="R16" i="4"/>
  <c r="S16" i="4"/>
  <c r="T16" i="4"/>
  <c r="U16" i="4"/>
  <c r="D146" i="4"/>
  <c r="D122" i="4"/>
  <c r="D98" i="4"/>
  <c r="D194" i="4"/>
  <c r="D170" i="4"/>
  <c r="V15" i="4"/>
  <c r="C194" i="4"/>
  <c r="T15" i="4"/>
  <c r="S15" i="4"/>
  <c r="R15" i="4"/>
  <c r="C170" i="4"/>
  <c r="Q15" i="4"/>
  <c r="P15" i="4"/>
  <c r="N15" i="4"/>
  <c r="M15" i="4"/>
  <c r="L15" i="4"/>
  <c r="K15" i="4"/>
  <c r="J15" i="4"/>
  <c r="I15" i="4"/>
  <c r="H15" i="4"/>
  <c r="U15" i="4"/>
  <c r="C98" i="4"/>
  <c r="C122" i="4"/>
  <c r="C146" i="4"/>
  <c r="B122" i="4"/>
  <c r="B98" i="4"/>
  <c r="B146" i="4"/>
  <c r="B194" i="4"/>
  <c r="B170" i="4"/>
  <c r="M14" i="4"/>
  <c r="N14" i="4"/>
  <c r="I14" i="4"/>
  <c r="O14" i="4"/>
  <c r="P14" i="4"/>
  <c r="Q14" i="4"/>
  <c r="R14" i="4"/>
  <c r="H14" i="4"/>
  <c r="L14" i="4"/>
  <c r="S14" i="4"/>
  <c r="T14" i="4"/>
  <c r="U14" i="4"/>
  <c r="V14" i="4"/>
  <c r="A24" i="5"/>
  <c r="A25" i="5"/>
  <c r="A26" i="5"/>
  <c r="A27" i="5"/>
  <c r="A28" i="5"/>
  <c r="K14" i="4"/>
  <c r="J14" i="4"/>
  <c r="M13" i="4"/>
  <c r="N13" i="4"/>
  <c r="T13" i="4"/>
  <c r="O13" i="4"/>
  <c r="S13" i="4"/>
  <c r="V13" i="4"/>
  <c r="K13" i="4"/>
  <c r="R13" i="4"/>
  <c r="I13" i="4"/>
  <c r="Q13" i="4"/>
  <c r="J13" i="4"/>
  <c r="L13" i="4"/>
  <c r="H13" i="4"/>
  <c r="U13" i="4"/>
  <c r="P13" i="4"/>
  <c r="L12" i="4"/>
  <c r="O12" i="4"/>
  <c r="I12" i="4"/>
  <c r="V12" i="4"/>
  <c r="M12" i="4"/>
  <c r="Q12" i="4"/>
  <c r="N12" i="4"/>
  <c r="H12" i="4"/>
  <c r="R12" i="4"/>
  <c r="K12" i="4"/>
  <c r="U12" i="4"/>
  <c r="P12" i="4"/>
  <c r="J12" i="4"/>
  <c r="L11" i="4"/>
  <c r="R11" i="4"/>
  <c r="J11" i="4"/>
  <c r="H11" i="4"/>
  <c r="O11" i="4"/>
  <c r="N11" i="4"/>
  <c r="K11" i="4"/>
  <c r="M11" i="4"/>
  <c r="Q11" i="4"/>
  <c r="V11" i="4"/>
  <c r="S11" i="4"/>
  <c r="I11" i="4"/>
  <c r="U11" i="4"/>
  <c r="T11" i="4"/>
  <c r="P11" i="4"/>
  <c r="P10" i="4"/>
  <c r="I10" i="4"/>
  <c r="Q10" i="4"/>
  <c r="N10" i="4"/>
  <c r="S10" i="4"/>
  <c r="V10" i="4"/>
  <c r="J10" i="4"/>
  <c r="O10" i="4"/>
  <c r="R10" i="4"/>
  <c r="U10" i="4"/>
  <c r="H10" i="4"/>
  <c r="T10" i="4"/>
  <c r="L10" i="4"/>
  <c r="M10" i="4"/>
  <c r="K10" i="4"/>
  <c r="O9" i="4"/>
  <c r="J9" i="4"/>
  <c r="F5" i="5"/>
  <c r="E5" i="5"/>
  <c r="D5" i="5"/>
  <c r="C5" i="5"/>
  <c r="P9" i="4"/>
  <c r="C55" i="4"/>
  <c r="H9" i="4"/>
  <c r="I9" i="4"/>
  <c r="B5" i="5"/>
  <c r="T9" i="4"/>
  <c r="S9" i="4"/>
  <c r="V9" i="4"/>
  <c r="N9" i="4"/>
  <c r="U9" i="4"/>
  <c r="K9" i="4"/>
  <c r="M9" i="4"/>
  <c r="Q9" i="4"/>
  <c r="L9" i="4"/>
  <c r="Q8" i="4"/>
  <c r="V8" i="4"/>
  <c r="L8" i="4"/>
  <c r="R8" i="4"/>
  <c r="M8" i="4"/>
  <c r="H8" i="4"/>
  <c r="I8" i="4"/>
  <c r="N8" i="4"/>
  <c r="P8" i="4"/>
  <c r="K8" i="4"/>
  <c r="J8" i="4"/>
  <c r="O8" i="4"/>
  <c r="T8" i="4"/>
  <c r="S8" i="4"/>
  <c r="J7" i="4"/>
  <c r="M7" i="4"/>
  <c r="R7" i="4"/>
  <c r="Q7" i="4"/>
  <c r="T7" i="4"/>
  <c r="V7" i="4"/>
  <c r="U7" i="4"/>
  <c r="K7" i="4"/>
  <c r="N7" i="4"/>
  <c r="O7" i="4"/>
  <c r="I7" i="4"/>
  <c r="L7" i="4"/>
  <c r="S7" i="4"/>
  <c r="P7" i="4"/>
  <c r="H7" i="4"/>
  <c r="D128" i="4"/>
  <c r="D152" i="4"/>
  <c r="D155" i="4" s="1"/>
  <c r="D176" i="4"/>
  <c r="D179" i="4" s="1"/>
  <c r="D80" i="4"/>
  <c r="D83" i="4" s="1"/>
  <c r="D104" i="4"/>
  <c r="D107" i="4" s="1"/>
  <c r="N6" i="4"/>
  <c r="M6" i="4"/>
  <c r="J6" i="4"/>
  <c r="T6" i="4"/>
  <c r="C176" i="4"/>
  <c r="C128" i="4"/>
  <c r="C131" i="4" s="1"/>
  <c r="R6" i="4"/>
  <c r="C104" i="4"/>
  <c r="A10" i="5"/>
  <c r="A9" i="5"/>
  <c r="A8" i="5"/>
  <c r="A7" i="5"/>
  <c r="U6" i="4"/>
  <c r="S6" i="4"/>
  <c r="A6" i="5"/>
  <c r="V6" i="4"/>
  <c r="H6" i="4"/>
  <c r="O6" i="4"/>
  <c r="L6" i="4"/>
  <c r="I6" i="4"/>
  <c r="C152" i="4"/>
  <c r="C155" i="4" s="1"/>
  <c r="K6" i="4"/>
  <c r="C80" i="4"/>
  <c r="C83" i="4" s="1"/>
  <c r="B152" i="4"/>
  <c r="B155" i="4" s="1"/>
  <c r="B80" i="4"/>
  <c r="B83" i="4" s="1"/>
  <c r="B176" i="4"/>
  <c r="B179" i="4" s="1"/>
  <c r="B128" i="4"/>
  <c r="B131" i="4" s="1"/>
  <c r="B104" i="4"/>
  <c r="B107" i="4" s="1"/>
  <c r="D43" i="4"/>
  <c r="B43" i="4"/>
  <c r="C43" i="4"/>
  <c r="W43" i="4" s="1"/>
  <c r="E62" i="3"/>
  <c r="F86" i="2"/>
  <c r="F89" i="2"/>
  <c r="E89" i="2"/>
  <c r="E86" i="2"/>
  <c r="D89" i="2"/>
  <c r="D86" i="2"/>
  <c r="C89" i="2"/>
  <c r="C86" i="2"/>
  <c r="B86" i="2"/>
  <c r="B89" i="2"/>
  <c r="B32" i="3"/>
  <c r="H46" i="2"/>
  <c r="B35" i="3" s="1"/>
  <c r="B16" i="2"/>
  <c r="O146" i="4"/>
  <c r="B5" i="6"/>
  <c r="O122" i="4"/>
  <c r="O170" i="4"/>
  <c r="O194" i="4"/>
  <c r="O98" i="4"/>
  <c r="C74" i="2"/>
  <c r="E191" i="1"/>
  <c r="G191" i="1"/>
  <c r="F191" i="1"/>
  <c r="D191" i="1"/>
  <c r="B191" i="1"/>
  <c r="C191" i="1"/>
  <c r="B40" i="3"/>
  <c r="C107" i="4" l="1"/>
  <c r="C179" i="4"/>
  <c r="D131" i="4"/>
  <c r="C234" i="4"/>
  <c r="U50" i="4"/>
  <c r="U234" i="4" s="1"/>
  <c r="T50" i="4"/>
  <c r="T234" i="4" s="1"/>
  <c r="S50" i="4"/>
  <c r="S234" i="4" s="1"/>
  <c r="R50" i="4"/>
  <c r="R234" i="4" s="1"/>
  <c r="Q50" i="4"/>
  <c r="Q234" i="4" s="1"/>
  <c r="P50" i="4"/>
  <c r="P234" i="4" s="1"/>
  <c r="O50" i="4"/>
  <c r="O234" i="4" s="1"/>
  <c r="N50" i="4"/>
  <c r="N234" i="4" s="1"/>
  <c r="M50" i="4"/>
  <c r="M234" i="4" s="1"/>
  <c r="K50" i="4"/>
  <c r="K234" i="4" s="1"/>
  <c r="J50" i="4"/>
  <c r="J234" i="4" s="1"/>
  <c r="I50" i="4"/>
  <c r="I234" i="4" s="1"/>
  <c r="H50" i="4"/>
  <c r="H234" i="4" s="1"/>
  <c r="L50" i="4"/>
  <c r="L234" i="4" s="1"/>
  <c r="J277" i="4"/>
  <c r="J138" i="4" s="1"/>
  <c r="J276" i="4"/>
  <c r="J114" i="4" s="1"/>
  <c r="J278" i="4"/>
  <c r="J162" i="4" s="1"/>
  <c r="J279" i="4"/>
  <c r="J186" i="4" s="1"/>
  <c r="J280" i="4"/>
  <c r="J281" i="4"/>
  <c r="J282" i="4"/>
  <c r="J283" i="4"/>
  <c r="J284" i="4"/>
  <c r="J285" i="4"/>
  <c r="J286" i="4"/>
  <c r="J287" i="4"/>
  <c r="J288" i="4"/>
  <c r="J289" i="4"/>
  <c r="J290" i="4"/>
  <c r="J291" i="4"/>
  <c r="J292" i="4"/>
  <c r="J293" i="4"/>
  <c r="J294" i="4"/>
  <c r="J304" i="4"/>
  <c r="J313" i="4"/>
  <c r="J315" i="4"/>
  <c r="J318" i="4"/>
  <c r="J319" i="4"/>
  <c r="J320" i="4"/>
  <c r="J321" i="4"/>
  <c r="J322" i="4"/>
  <c r="J323" i="4"/>
  <c r="J324" i="4"/>
  <c r="J325" i="4"/>
  <c r="J327" i="4"/>
  <c r="J331" i="4"/>
  <c r="J332" i="4"/>
  <c r="J333" i="4"/>
  <c r="J334" i="4"/>
  <c r="J335" i="4"/>
  <c r="J336" i="4"/>
  <c r="J337" i="4"/>
  <c r="J338" i="4"/>
  <c r="J307" i="4"/>
  <c r="J312" i="4"/>
  <c r="J326" i="4"/>
  <c r="J295" i="4"/>
  <c r="J296" i="4"/>
  <c r="J297" i="4"/>
  <c r="J298" i="4"/>
  <c r="J299" i="4"/>
  <c r="J300" i="4"/>
  <c r="J301" i="4"/>
  <c r="J302" i="4"/>
  <c r="J303" i="4"/>
  <c r="J305" i="4"/>
  <c r="J306" i="4"/>
  <c r="J308" i="4"/>
  <c r="J314" i="4"/>
  <c r="J316" i="4"/>
  <c r="J317" i="4"/>
  <c r="J328" i="4"/>
  <c r="J329" i="4"/>
  <c r="J330" i="4"/>
  <c r="J339" i="4"/>
  <c r="J340" i="4"/>
  <c r="J341" i="4"/>
  <c r="J342" i="4"/>
  <c r="J343" i="4"/>
  <c r="J344" i="4"/>
  <c r="W319" i="4"/>
  <c r="W321" i="4"/>
  <c r="W322" i="4"/>
  <c r="W325" i="4"/>
  <c r="W326" i="4"/>
  <c r="W328" i="4"/>
  <c r="W329" i="4"/>
  <c r="W331" i="4"/>
  <c r="W332" i="4"/>
  <c r="W281" i="4"/>
  <c r="W333" i="4"/>
  <c r="W334" i="4"/>
  <c r="W335" i="4"/>
  <c r="W336" i="4"/>
  <c r="W337" i="4"/>
  <c r="W292" i="4"/>
  <c r="W294" i="4"/>
  <c r="W301" i="4"/>
  <c r="W305" i="4"/>
  <c r="W320" i="4"/>
  <c r="W323" i="4"/>
  <c r="W324" i="4"/>
  <c r="W293" i="4"/>
  <c r="W295" i="4"/>
  <c r="W296" i="4"/>
  <c r="W297" i="4"/>
  <c r="W298" i="4"/>
  <c r="W299" i="4"/>
  <c r="W300" i="4"/>
  <c r="W303" i="4"/>
  <c r="W307" i="4"/>
  <c r="W311" i="4"/>
  <c r="W312" i="4"/>
  <c r="W313" i="4"/>
  <c r="W315" i="4"/>
  <c r="W347" i="4" s="1" a="1"/>
  <c r="W211" i="4" s="1"/>
  <c r="W318" i="4"/>
  <c r="W275" i="4"/>
  <c r="W327" i="4"/>
  <c r="W330" i="4"/>
  <c r="W338" i="4"/>
  <c r="W339" i="4"/>
  <c r="W340" i="4"/>
  <c r="W341" i="4"/>
  <c r="W342" i="4"/>
  <c r="W343" i="4"/>
  <c r="W344" i="4"/>
  <c r="W276" i="4"/>
  <c r="W277" i="4"/>
  <c r="W278" i="4"/>
  <c r="W279" i="4"/>
  <c r="W280" i="4"/>
  <c r="W306" i="4"/>
  <c r="W282" i="4"/>
  <c r="W283" i="4"/>
  <c r="W284" i="4"/>
  <c r="W285" i="4"/>
  <c r="W286" i="4"/>
  <c r="W287" i="4"/>
  <c r="W288" i="4"/>
  <c r="W289" i="4"/>
  <c r="W290" i="4"/>
  <c r="W291" i="4"/>
  <c r="W302" i="4"/>
  <c r="W304" i="4"/>
  <c r="W308" i="4"/>
  <c r="W314" i="4"/>
  <c r="W316" i="4"/>
  <c r="W317" i="4"/>
  <c r="W68" i="4"/>
  <c r="W74" i="4"/>
  <c r="W90" i="4"/>
  <c r="W162" i="4"/>
  <c r="W346" i="4" a="1"/>
  <c r="W204" i="4" s="1"/>
  <c r="W75" i="4"/>
  <c r="W138" i="4"/>
  <c r="W114" i="4"/>
  <c r="W186" i="4"/>
  <c r="L316" i="4"/>
  <c r="L337" i="4"/>
  <c r="L294" i="4"/>
  <c r="L320" i="4"/>
  <c r="L334" i="4"/>
  <c r="L313" i="4"/>
  <c r="L298" i="4"/>
  <c r="L279" i="4"/>
  <c r="L186" i="4" s="1"/>
  <c r="L314" i="4"/>
  <c r="L293" i="4"/>
  <c r="L327" i="4"/>
  <c r="L318" i="4"/>
  <c r="L276" i="4"/>
  <c r="L114" i="4" s="1"/>
  <c r="L292" i="4"/>
  <c r="L311" i="4"/>
  <c r="L321" i="4"/>
  <c r="L338" i="4"/>
  <c r="L333" i="4"/>
  <c r="L330" i="4"/>
  <c r="L307" i="4"/>
  <c r="L329" i="4"/>
  <c r="L301" i="4"/>
  <c r="L277" i="4"/>
  <c r="L138" i="4" s="1"/>
  <c r="L296" i="4"/>
  <c r="L312" i="4"/>
  <c r="L328" i="4"/>
  <c r="L285" i="4"/>
  <c r="L302" i="4"/>
  <c r="L303" i="4"/>
  <c r="L325" i="4"/>
  <c r="L322" i="4"/>
  <c r="L319" i="4"/>
  <c r="L283" i="4"/>
  <c r="L332" i="4"/>
  <c r="L299" i="4"/>
  <c r="L339" i="4"/>
  <c r="L344" i="4"/>
  <c r="L300" i="4"/>
  <c r="L291" i="4"/>
  <c r="L286" i="4"/>
  <c r="L280" i="4"/>
  <c r="L278" i="4"/>
  <c r="L162" i="4" s="1"/>
  <c r="L295" i="4"/>
  <c r="L308" i="4"/>
  <c r="L290" i="4"/>
  <c r="L317" i="4"/>
  <c r="L324" i="4"/>
  <c r="L304" i="4"/>
  <c r="L343" i="4"/>
  <c r="L306" i="4"/>
  <c r="L326" i="4"/>
  <c r="L287" i="4"/>
  <c r="L281" i="4"/>
  <c r="L323" i="4"/>
  <c r="L289" i="4"/>
  <c r="L331" i="4"/>
  <c r="L297" i="4"/>
  <c r="L342" i="4"/>
  <c r="L288" i="4"/>
  <c r="L284" i="4"/>
  <c r="L282" i="4"/>
  <c r="L305" i="4"/>
  <c r="L340" i="4"/>
  <c r="L341" i="4"/>
  <c r="L335" i="4"/>
  <c r="L336" i="4"/>
  <c r="L315" i="4"/>
  <c r="L275" i="4"/>
  <c r="K319" i="4"/>
  <c r="K334" i="4"/>
  <c r="K279" i="4"/>
  <c r="K186" i="4" s="1"/>
  <c r="K320" i="4"/>
  <c r="K292" i="4"/>
  <c r="K333" i="4"/>
  <c r="K313" i="4"/>
  <c r="K329" i="4"/>
  <c r="K325" i="4"/>
  <c r="K327" i="4"/>
  <c r="K280" i="4"/>
  <c r="K322" i="4"/>
  <c r="K321" i="4"/>
  <c r="K284" i="4"/>
  <c r="K332" i="4"/>
  <c r="K344" i="4"/>
  <c r="K291" i="4"/>
  <c r="K294" i="4"/>
  <c r="K290" i="4"/>
  <c r="K323" i="4"/>
  <c r="K343" i="4"/>
  <c r="K307" i="4"/>
  <c r="K326" i="4"/>
  <c r="K337" i="4"/>
  <c r="K339" i="4"/>
  <c r="K283" i="4"/>
  <c r="K341" i="4"/>
  <c r="K299" i="4"/>
  <c r="K324" i="4"/>
  <c r="K312" i="4"/>
  <c r="K331" i="4"/>
  <c r="K335" i="4"/>
  <c r="K317" i="4"/>
  <c r="K316" i="4"/>
  <c r="K336" i="4"/>
  <c r="K311" i="4"/>
  <c r="K330" i="4"/>
  <c r="K308" i="4"/>
  <c r="K342" i="4"/>
  <c r="K287" i="4"/>
  <c r="K293" i="4"/>
  <c r="K295" i="4"/>
  <c r="K304" i="4"/>
  <c r="K277" i="4"/>
  <c r="K275" i="4"/>
  <c r="K90" i="4" s="1"/>
  <c r="K298" i="4"/>
  <c r="K328" i="4"/>
  <c r="K288" i="4"/>
  <c r="K306" i="4"/>
  <c r="K300" i="4"/>
  <c r="K276" i="4"/>
  <c r="K281" i="4"/>
  <c r="K340" i="4"/>
  <c r="K282" i="4"/>
  <c r="K315" i="4"/>
  <c r="K301" i="4"/>
  <c r="K314" i="4"/>
  <c r="K278" i="4"/>
  <c r="K318" i="4"/>
  <c r="K286" i="4"/>
  <c r="K305" i="4"/>
  <c r="K285" i="4"/>
  <c r="K297" i="4"/>
  <c r="K302" i="4"/>
  <c r="K289" i="4"/>
  <c r="K296" i="4"/>
  <c r="K303" i="4"/>
  <c r="K338" i="4"/>
  <c r="I286" i="4"/>
  <c r="I287" i="4"/>
  <c r="I334" i="4"/>
  <c r="I288" i="4"/>
  <c r="I329" i="4"/>
  <c r="I290" i="4"/>
  <c r="I295" i="4"/>
  <c r="I325" i="4"/>
  <c r="I321" i="4"/>
  <c r="I291" i="4"/>
  <c r="I333" i="4"/>
  <c r="I294" i="4"/>
  <c r="I344" i="4"/>
  <c r="I340" i="4"/>
  <c r="I331" i="4"/>
  <c r="I327" i="4"/>
  <c r="I292" i="4"/>
  <c r="I322" i="4"/>
  <c r="I320" i="4"/>
  <c r="I303" i="4"/>
  <c r="I315" i="4"/>
  <c r="I332" i="4"/>
  <c r="I314" i="4"/>
  <c r="I304" i="4"/>
  <c r="I305" i="4"/>
  <c r="I328" i="4"/>
  <c r="I300" i="4"/>
  <c r="I299" i="4"/>
  <c r="I298" i="4"/>
  <c r="I306" i="4"/>
  <c r="I323" i="4"/>
  <c r="I343" i="4"/>
  <c r="I297" i="4"/>
  <c r="I296" i="4"/>
  <c r="I307" i="4"/>
  <c r="I293" i="4"/>
  <c r="I281" i="4"/>
  <c r="I308" i="4"/>
  <c r="I338" i="4"/>
  <c r="I312" i="4"/>
  <c r="I342" i="4"/>
  <c r="I337" i="4"/>
  <c r="I336" i="4"/>
  <c r="I326" i="4"/>
  <c r="I316" i="4"/>
  <c r="I317" i="4"/>
  <c r="I335" i="4"/>
  <c r="I341" i="4"/>
  <c r="I275" i="4"/>
  <c r="I90" i="4" s="1"/>
  <c r="I276" i="4"/>
  <c r="I114" i="4" s="1"/>
  <c r="I324" i="4"/>
  <c r="I339" i="4"/>
  <c r="I277" i="4"/>
  <c r="I138" i="4" s="1"/>
  <c r="I319" i="4"/>
  <c r="I278" i="4"/>
  <c r="I162" i="4" s="1"/>
  <c r="I318" i="4"/>
  <c r="I279" i="4"/>
  <c r="I186" i="4" s="1"/>
  <c r="I313" i="4"/>
  <c r="I302" i="4"/>
  <c r="I330" i="4"/>
  <c r="I280" i="4"/>
  <c r="I311" i="4"/>
  <c r="I282" i="4"/>
  <c r="I283" i="4"/>
  <c r="I284" i="4"/>
  <c r="I289" i="4"/>
  <c r="I285" i="4"/>
  <c r="I301" i="4"/>
  <c r="H311" i="4"/>
  <c r="H276" i="4"/>
  <c r="H114" i="4" s="1"/>
  <c r="H277" i="4"/>
  <c r="H138" i="4" s="1"/>
  <c r="H275" i="4"/>
  <c r="H90" i="4" s="1"/>
  <c r="H312" i="4"/>
  <c r="H313" i="4"/>
  <c r="V302" i="4"/>
  <c r="V320" i="4"/>
  <c r="V313" i="4"/>
  <c r="V332" i="4"/>
  <c r="V316" i="4"/>
  <c r="V325" i="4"/>
  <c r="V298" i="4"/>
  <c r="V321" i="4"/>
  <c r="V344" i="4"/>
  <c r="V303" i="4"/>
  <c r="V336" i="4"/>
  <c r="V284" i="4"/>
  <c r="V290" i="4"/>
  <c r="V343" i="4"/>
  <c r="V324" i="4"/>
  <c r="V338" i="4"/>
  <c r="V331" i="4"/>
  <c r="V286" i="4"/>
  <c r="V275" i="4"/>
  <c r="V90" i="4" s="1"/>
  <c r="V326" i="4"/>
  <c r="V322" i="4"/>
  <c r="V291" i="4"/>
  <c r="V293" i="4"/>
  <c r="V287" i="4"/>
  <c r="V311" i="4"/>
  <c r="V318" i="4"/>
  <c r="V330" i="4"/>
  <c r="V300" i="4"/>
  <c r="V341" i="4"/>
  <c r="V285" i="4"/>
  <c r="V337" i="4"/>
  <c r="V279" i="4"/>
  <c r="V186" i="4" s="1"/>
  <c r="V342" i="4"/>
  <c r="V283" i="4"/>
  <c r="V329" i="4"/>
  <c r="V319" i="4"/>
  <c r="V315" i="4"/>
  <c r="V288" i="4"/>
  <c r="V308" i="4"/>
  <c r="V281" i="4"/>
  <c r="V296" i="4"/>
  <c r="V299" i="4"/>
  <c r="V333" i="4"/>
  <c r="V277" i="4"/>
  <c r="V138" i="4" s="1"/>
  <c r="V312" i="4"/>
  <c r="V317" i="4"/>
  <c r="V276" i="4"/>
  <c r="V114" i="4" s="1"/>
  <c r="V304" i="4"/>
  <c r="V282" i="4"/>
  <c r="V294" i="4"/>
  <c r="V278" i="4"/>
  <c r="V162" i="4" s="1"/>
  <c r="V328" i="4"/>
  <c r="V280" i="4"/>
  <c r="V292" i="4"/>
  <c r="V289" i="4"/>
  <c r="V306" i="4"/>
  <c r="V305" i="4"/>
  <c r="V307" i="4"/>
  <c r="V295" i="4"/>
  <c r="V339" i="4"/>
  <c r="V323" i="4"/>
  <c r="V297" i="4"/>
  <c r="V335" i="4"/>
  <c r="V301" i="4"/>
  <c r="V340" i="4"/>
  <c r="V314" i="4"/>
  <c r="V334" i="4"/>
  <c r="V327" i="4"/>
  <c r="U318" i="4"/>
  <c r="U342" i="4"/>
  <c r="U323" i="4"/>
  <c r="U330" i="4"/>
  <c r="U341" i="4"/>
  <c r="U326" i="4"/>
  <c r="U288" i="4"/>
  <c r="U305" i="4"/>
  <c r="U296" i="4"/>
  <c r="U328" i="4"/>
  <c r="U281" i="4"/>
  <c r="U306" i="4"/>
  <c r="U295" i="4"/>
  <c r="U289" i="4"/>
  <c r="U280" i="4"/>
  <c r="U294" i="4"/>
  <c r="U324" i="4"/>
  <c r="U290" i="4"/>
  <c r="U301" i="4"/>
  <c r="U300" i="4"/>
  <c r="U308" i="4"/>
  <c r="U293" i="4"/>
  <c r="U302" i="4"/>
  <c r="U338" i="4"/>
  <c r="U329" i="4"/>
  <c r="U291" i="4"/>
  <c r="U311" i="4"/>
  <c r="U285" i="4"/>
  <c r="U279" i="4"/>
  <c r="U186" i="4" s="1"/>
  <c r="U283" i="4"/>
  <c r="U313" i="4"/>
  <c r="U307" i="4"/>
  <c r="U303" i="4"/>
  <c r="U278" i="4"/>
  <c r="U162" i="4" s="1"/>
  <c r="U304" i="4"/>
  <c r="U299" i="4"/>
  <c r="U286" i="4"/>
  <c r="U277" i="4"/>
  <c r="U138" i="4" s="1"/>
  <c r="U284" i="4"/>
  <c r="U282" i="4"/>
  <c r="U327" i="4"/>
  <c r="U298" i="4"/>
  <c r="U292" i="4"/>
  <c r="U276" i="4"/>
  <c r="U287" i="4"/>
  <c r="U337" i="4"/>
  <c r="U325" i="4"/>
  <c r="U312" i="4"/>
  <c r="U275" i="4"/>
  <c r="U336" i="4"/>
  <c r="U314" i="4"/>
  <c r="U339" i="4"/>
  <c r="U319" i="4"/>
  <c r="U333" i="4"/>
  <c r="U320" i="4"/>
  <c r="U332" i="4"/>
  <c r="U335" i="4"/>
  <c r="U297" i="4"/>
  <c r="U315" i="4"/>
  <c r="U316" i="4"/>
  <c r="U321" i="4"/>
  <c r="U340" i="4"/>
  <c r="U344" i="4"/>
  <c r="U322" i="4"/>
  <c r="U343" i="4"/>
  <c r="U334" i="4"/>
  <c r="U331" i="4"/>
  <c r="U317" i="4"/>
  <c r="T292" i="4"/>
  <c r="T304" i="4"/>
  <c r="T319" i="4"/>
  <c r="T306" i="4"/>
  <c r="T320" i="4"/>
  <c r="T314" i="4"/>
  <c r="T284" i="4"/>
  <c r="T328" i="4"/>
  <c r="T325" i="4"/>
  <c r="T298" i="4"/>
  <c r="T295" i="4"/>
  <c r="T289" i="4"/>
  <c r="T303" i="4"/>
  <c r="T281" i="4"/>
  <c r="T296" i="4"/>
  <c r="T288" i="4"/>
  <c r="T287" i="4"/>
  <c r="T301" i="4"/>
  <c r="T308" i="4"/>
  <c r="T324" i="4"/>
  <c r="T276" i="4"/>
  <c r="T114" i="4" s="1"/>
  <c r="T330" i="4"/>
  <c r="T313" i="4"/>
  <c r="T341" i="4"/>
  <c r="T326" i="4"/>
  <c r="T337" i="4"/>
  <c r="T317" i="4"/>
  <c r="T311" i="4"/>
  <c r="T323" i="4"/>
  <c r="T342" i="4"/>
  <c r="T331" i="4"/>
  <c r="T294" i="4"/>
  <c r="T338" i="4"/>
  <c r="T343" i="4"/>
  <c r="T278" i="4"/>
  <c r="T162" i="4" s="1"/>
  <c r="T322" i="4"/>
  <c r="T344" i="4"/>
  <c r="T302" i="4"/>
  <c r="T336" i="4"/>
  <c r="T332" i="4"/>
  <c r="T321" i="4"/>
  <c r="T300" i="4"/>
  <c r="T312" i="4"/>
  <c r="T333" i="4"/>
  <c r="T299" i="4"/>
  <c r="T316" i="4"/>
  <c r="T275" i="4"/>
  <c r="T90" i="4" s="1"/>
  <c r="T286" i="4"/>
  <c r="T291" i="4"/>
  <c r="T285" i="4"/>
  <c r="T329" i="4"/>
  <c r="T335" i="4"/>
  <c r="T318" i="4"/>
  <c r="T279" i="4"/>
  <c r="T186" i="4" s="1"/>
  <c r="T297" i="4"/>
  <c r="T340" i="4"/>
  <c r="T327" i="4"/>
  <c r="T305" i="4"/>
  <c r="T293" i="4"/>
  <c r="T280" i="4"/>
  <c r="T290" i="4"/>
  <c r="T282" i="4"/>
  <c r="T283" i="4"/>
  <c r="T307" i="4"/>
  <c r="T334" i="4"/>
  <c r="T277" i="4"/>
  <c r="T138" i="4" s="1"/>
  <c r="T315" i="4"/>
  <c r="T339" i="4"/>
  <c r="S335" i="4"/>
  <c r="S334" i="4"/>
  <c r="S333" i="4"/>
  <c r="S332" i="4"/>
  <c r="S331" i="4"/>
  <c r="S330" i="4"/>
  <c r="S328" i="4"/>
  <c r="S326" i="4"/>
  <c r="S277" i="4"/>
  <c r="S138" i="4" s="1"/>
  <c r="S325" i="4"/>
  <c r="S324" i="4"/>
  <c r="S323" i="4"/>
  <c r="S322" i="4"/>
  <c r="S321" i="4"/>
  <c r="S320" i="4"/>
  <c r="S319" i="4"/>
  <c r="S318" i="4"/>
  <c r="S317" i="4"/>
  <c r="S316" i="4"/>
  <c r="S315" i="4"/>
  <c r="S314" i="4"/>
  <c r="S313" i="4"/>
  <c r="S312" i="4"/>
  <c r="S306" i="4"/>
  <c r="S304" i="4"/>
  <c r="S303" i="4"/>
  <c r="S344" i="4"/>
  <c r="S292" i="4"/>
  <c r="S291" i="4"/>
  <c r="S290" i="4"/>
  <c r="S289" i="4"/>
  <c r="S288" i="4"/>
  <c r="S287" i="4"/>
  <c r="S343" i="4"/>
  <c r="S286" i="4"/>
  <c r="S285" i="4"/>
  <c r="S284" i="4"/>
  <c r="S283" i="4"/>
  <c r="S282" i="4"/>
  <c r="S281" i="4"/>
  <c r="S342" i="4"/>
  <c r="S280" i="4"/>
  <c r="S279" i="4"/>
  <c r="S186" i="4" s="1"/>
  <c r="S278" i="4"/>
  <c r="S162" i="4" s="1"/>
  <c r="S276" i="4"/>
  <c r="S114" i="4" s="1"/>
  <c r="S275" i="4"/>
  <c r="S90" i="4" s="1"/>
  <c r="S341" i="4"/>
  <c r="S340" i="4"/>
  <c r="S339" i="4"/>
  <c r="S338" i="4"/>
  <c r="S329" i="4"/>
  <c r="S311" i="4"/>
  <c r="S308" i="4"/>
  <c r="S307" i="4"/>
  <c r="S305" i="4"/>
  <c r="S302" i="4"/>
  <c r="S300" i="4"/>
  <c r="S297" i="4"/>
  <c r="S296" i="4"/>
  <c r="S295" i="4"/>
  <c r="S294" i="4"/>
  <c r="S327" i="4"/>
  <c r="S301" i="4"/>
  <c r="S299" i="4"/>
  <c r="S298" i="4"/>
  <c r="S293" i="4"/>
  <c r="S337" i="4"/>
  <c r="S336" i="4"/>
  <c r="R332" i="4"/>
  <c r="R291" i="4"/>
  <c r="R335" i="4"/>
  <c r="R337" i="4"/>
  <c r="R280" i="4"/>
  <c r="R303" i="4"/>
  <c r="R336" i="4"/>
  <c r="R333" i="4"/>
  <c r="R312" i="4"/>
  <c r="R284" i="4"/>
  <c r="R281" i="4"/>
  <c r="R329" i="4"/>
  <c r="R306" i="4"/>
  <c r="R299" i="4"/>
  <c r="R320" i="4"/>
  <c r="R324" i="4"/>
  <c r="R301" i="4"/>
  <c r="R315" i="4"/>
  <c r="R295" i="4"/>
  <c r="R282" i="4"/>
  <c r="R304" i="4"/>
  <c r="R296" i="4"/>
  <c r="R286" i="4"/>
  <c r="R305" i="4"/>
  <c r="R308" i="4"/>
  <c r="R334" i="4"/>
  <c r="R344" i="4"/>
  <c r="R307" i="4"/>
  <c r="R289" i="4"/>
  <c r="R285" i="4"/>
  <c r="R290" i="4"/>
  <c r="R283" i="4"/>
  <c r="R343" i="4"/>
  <c r="R287" i="4"/>
  <c r="R341" i="4"/>
  <c r="R292" i="4"/>
  <c r="R317" i="4"/>
  <c r="R327" i="4"/>
  <c r="R342" i="4"/>
  <c r="R311" i="4"/>
  <c r="R300" i="4"/>
  <c r="R293" i="4"/>
  <c r="R298" i="4"/>
  <c r="R288" i="4"/>
  <c r="R323" i="4"/>
  <c r="R294" i="4"/>
  <c r="R319" i="4"/>
  <c r="R302" i="4"/>
  <c r="R313" i="4"/>
  <c r="R279" i="4"/>
  <c r="R186" i="4" s="1"/>
  <c r="R316" i="4"/>
  <c r="R331" i="4"/>
  <c r="R278" i="4"/>
  <c r="R162" i="4" s="1"/>
  <c r="R318" i="4"/>
  <c r="R277" i="4"/>
  <c r="R138" i="4" s="1"/>
  <c r="R322" i="4"/>
  <c r="R328" i="4"/>
  <c r="R276" i="4"/>
  <c r="R114" i="4" s="1"/>
  <c r="R330" i="4"/>
  <c r="R338" i="4"/>
  <c r="R297" i="4"/>
  <c r="R325" i="4"/>
  <c r="R275" i="4"/>
  <c r="R314" i="4"/>
  <c r="R339" i="4"/>
  <c r="R326" i="4"/>
  <c r="R321" i="4"/>
  <c r="R340" i="4"/>
  <c r="Q280" i="4"/>
  <c r="Q299" i="4"/>
  <c r="Q307" i="4"/>
  <c r="Q330" i="4"/>
  <c r="Q281" i="4"/>
  <c r="Q305" i="4"/>
  <c r="Q323" i="4"/>
  <c r="Q282" i="4"/>
  <c r="Q315" i="4"/>
  <c r="Q288" i="4"/>
  <c r="Q283" i="4"/>
  <c r="Q344" i="4"/>
  <c r="Q292" i="4"/>
  <c r="Q343" i="4"/>
  <c r="Q290" i="4"/>
  <c r="Q342" i="4"/>
  <c r="Q326" i="4"/>
  <c r="Q320" i="4"/>
  <c r="Q312" i="4"/>
  <c r="Q289" i="4"/>
  <c r="Q329" i="4"/>
  <c r="Q300" i="4"/>
  <c r="Q331" i="4"/>
  <c r="Q302" i="4"/>
  <c r="Q293" i="4"/>
  <c r="Q286" i="4"/>
  <c r="Q322" i="4"/>
  <c r="Q337" i="4"/>
  <c r="Q298" i="4"/>
  <c r="Q294" i="4"/>
  <c r="Q332" i="4"/>
  <c r="Q314" i="4"/>
  <c r="Q321" i="4"/>
  <c r="Q336" i="4"/>
  <c r="Q295" i="4"/>
  <c r="Q333" i="4"/>
  <c r="Q335" i="4"/>
  <c r="Q291" i="4"/>
  <c r="Q284" i="4"/>
  <c r="Q301" i="4"/>
  <c r="Q303" i="4"/>
  <c r="Q308" i="4"/>
  <c r="Q311" i="4"/>
  <c r="Q324" i="4"/>
  <c r="Q296" i="4"/>
  <c r="Q279" i="4"/>
  <c r="Q186" i="4" s="1"/>
  <c r="Q316" i="4"/>
  <c r="Q318" i="4"/>
  <c r="Q297" i="4"/>
  <c r="Q278" i="4"/>
  <c r="Q162" i="4" s="1"/>
  <c r="Q327" i="4"/>
  <c r="Q334" i="4"/>
  <c r="Q319" i="4"/>
  <c r="Q306" i="4"/>
  <c r="Q277" i="4"/>
  <c r="Q138" i="4" s="1"/>
  <c r="Q328" i="4"/>
  <c r="Q285" i="4"/>
  <c r="Q317" i="4"/>
  <c r="Q276" i="4"/>
  <c r="Q114" i="4" s="1"/>
  <c r="Q325" i="4"/>
  <c r="Q287" i="4"/>
  <c r="Q304" i="4"/>
  <c r="Q339" i="4"/>
  <c r="Q338" i="4"/>
  <c r="Q275" i="4"/>
  <c r="Q90" i="4" s="1"/>
  <c r="Q340" i="4"/>
  <c r="Q313" i="4"/>
  <c r="Q341" i="4"/>
  <c r="P343" i="4"/>
  <c r="P311" i="4"/>
  <c r="P308" i="4"/>
  <c r="P338" i="4"/>
  <c r="P307" i="4"/>
  <c r="P300" i="4"/>
  <c r="P295" i="4"/>
  <c r="P306" i="4"/>
  <c r="P296" i="4"/>
  <c r="P299" i="4"/>
  <c r="P305" i="4"/>
  <c r="P302" i="4"/>
  <c r="P314" i="4"/>
  <c r="P303" i="4"/>
  <c r="P315" i="4"/>
  <c r="P286" i="4"/>
  <c r="P317" i="4"/>
  <c r="P297" i="4"/>
  <c r="P292" i="4"/>
  <c r="P280" i="4"/>
  <c r="P291" i="4"/>
  <c r="P288" i="4"/>
  <c r="P293" i="4"/>
  <c r="P281" i="4"/>
  <c r="P282" i="4"/>
  <c r="P294" i="4"/>
  <c r="P304" i="4"/>
  <c r="P328" i="4"/>
  <c r="P283" i="4"/>
  <c r="P344" i="4"/>
  <c r="P342" i="4"/>
  <c r="P290" i="4"/>
  <c r="P323" i="4"/>
  <c r="P279" i="4"/>
  <c r="P186" i="4" s="1"/>
  <c r="P331" i="4"/>
  <c r="P322" i="4"/>
  <c r="P330" i="4"/>
  <c r="P332" i="4"/>
  <c r="P287" i="4"/>
  <c r="P278" i="4"/>
  <c r="P162" i="4" s="1"/>
  <c r="P284" i="4"/>
  <c r="P337" i="4"/>
  <c r="P321" i="4"/>
  <c r="P319" i="4"/>
  <c r="P298" i="4"/>
  <c r="P333" i="4"/>
  <c r="P320" i="4"/>
  <c r="P277" i="4"/>
  <c r="P138" i="4" s="1"/>
  <c r="P324" i="4"/>
  <c r="P334" i="4"/>
  <c r="P329" i="4"/>
  <c r="P327" i="4"/>
  <c r="P301" i="4"/>
  <c r="P276" i="4"/>
  <c r="P114" i="4" s="1"/>
  <c r="P316" i="4"/>
  <c r="P335" i="4"/>
  <c r="P326" i="4"/>
  <c r="P275" i="4"/>
  <c r="P90" i="4" s="1"/>
  <c r="P339" i="4"/>
  <c r="P285" i="4"/>
  <c r="P336" i="4"/>
  <c r="P289" i="4"/>
  <c r="P340" i="4"/>
  <c r="P313" i="4"/>
  <c r="P325" i="4"/>
  <c r="P341" i="4"/>
  <c r="P312" i="4"/>
  <c r="P318" i="4"/>
  <c r="O307" i="4"/>
  <c r="O308" i="4"/>
  <c r="O280" i="4"/>
  <c r="O285" i="4"/>
  <c r="O296" i="4"/>
  <c r="O291" i="4"/>
  <c r="O325" i="4"/>
  <c r="O299" i="4"/>
  <c r="O326" i="4"/>
  <c r="O315" i="4"/>
  <c r="O327" i="4"/>
  <c r="O294" i="4"/>
  <c r="O300" i="4"/>
  <c r="O298" i="4"/>
  <c r="O312" i="4"/>
  <c r="O334" i="4"/>
  <c r="O335" i="4"/>
  <c r="O313" i="4"/>
  <c r="O301" i="4"/>
  <c r="O338" i="4"/>
  <c r="O319" i="4"/>
  <c r="O320" i="4"/>
  <c r="O279" i="4"/>
  <c r="O186" i="4" s="1"/>
  <c r="O314" i="4"/>
  <c r="O316" i="4"/>
  <c r="O304" i="4"/>
  <c r="O333" i="4"/>
  <c r="O311" i="4"/>
  <c r="O289" i="4"/>
  <c r="O286" i="4"/>
  <c r="O295" i="4"/>
  <c r="O278" i="4"/>
  <c r="O162" i="4" s="1"/>
  <c r="O321" i="4"/>
  <c r="O329" i="4"/>
  <c r="O317" i="4"/>
  <c r="O332" i="4"/>
  <c r="O337" i="4"/>
  <c r="O318" i="4"/>
  <c r="O284" i="4"/>
  <c r="O297" i="4"/>
  <c r="O328" i="4"/>
  <c r="O302" i="4"/>
  <c r="O281" i="4"/>
  <c r="O287" i="4"/>
  <c r="O330" i="4"/>
  <c r="O293" i="4"/>
  <c r="O331" i="4"/>
  <c r="O288" i="4"/>
  <c r="O276" i="4"/>
  <c r="O114" i="4" s="1"/>
  <c r="O290" i="4"/>
  <c r="O342" i="4"/>
  <c r="O324" i="4"/>
  <c r="O343" i="4"/>
  <c r="O339" i="4"/>
  <c r="O344" i="4"/>
  <c r="O336" i="4"/>
  <c r="O292" i="4"/>
  <c r="O277" i="4"/>
  <c r="O138" i="4" s="1"/>
  <c r="O340" i="4"/>
  <c r="O283" i="4"/>
  <c r="O275" i="4"/>
  <c r="O90" i="4" s="1"/>
  <c r="O303" i="4"/>
  <c r="O322" i="4"/>
  <c r="O323" i="4"/>
  <c r="O341" i="4"/>
  <c r="O282" i="4"/>
  <c r="O305" i="4"/>
  <c r="O306" i="4"/>
  <c r="N344" i="4"/>
  <c r="N311" i="4"/>
  <c r="N343" i="4"/>
  <c r="N313" i="4"/>
  <c r="N342" i="4"/>
  <c r="N326" i="4"/>
  <c r="N330" i="4"/>
  <c r="N323" i="4"/>
  <c r="N332" i="4"/>
  <c r="N322" i="4"/>
  <c r="N321" i="4"/>
  <c r="N279" i="4"/>
  <c r="N186" i="4" s="1"/>
  <c r="N333" i="4"/>
  <c r="N334" i="4"/>
  <c r="N327" i="4"/>
  <c r="N317" i="4"/>
  <c r="N335" i="4"/>
  <c r="N315" i="4"/>
  <c r="N336" i="4"/>
  <c r="N314" i="4"/>
  <c r="N337" i="4"/>
  <c r="N278" i="4"/>
  <c r="N162" i="4" s="1"/>
  <c r="N338" i="4"/>
  <c r="N318" i="4"/>
  <c r="N308" i="4"/>
  <c r="N307" i="4"/>
  <c r="N306" i="4"/>
  <c r="N325" i="4"/>
  <c r="N312" i="4"/>
  <c r="N316" i="4"/>
  <c r="N294" i="4"/>
  <c r="N319" i="4"/>
  <c r="N293" i="4"/>
  <c r="N320" i="4"/>
  <c r="N292" i="4"/>
  <c r="N329" i="4"/>
  <c r="N291" i="4"/>
  <c r="N290" i="4"/>
  <c r="N295" i="4"/>
  <c r="N289" i="4"/>
  <c r="N296" i="4"/>
  <c r="N297" i="4"/>
  <c r="N276" i="4"/>
  <c r="N114" i="4" s="1"/>
  <c r="N288" i="4"/>
  <c r="N328" i="4"/>
  <c r="N331" i="4"/>
  <c r="N298" i="4"/>
  <c r="N287" i="4"/>
  <c r="N275" i="4"/>
  <c r="N90" i="4" s="1"/>
  <c r="N339" i="4"/>
  <c r="N299" i="4"/>
  <c r="N286" i="4"/>
  <c r="N300" i="4"/>
  <c r="N285" i="4"/>
  <c r="N301" i="4"/>
  <c r="N277" i="4"/>
  <c r="N138" i="4" s="1"/>
  <c r="N340" i="4"/>
  <c r="N284" i="4"/>
  <c r="N302" i="4"/>
  <c r="N303" i="4"/>
  <c r="N283" i="4"/>
  <c r="N304" i="4"/>
  <c r="N324" i="4"/>
  <c r="N341" i="4"/>
  <c r="N282" i="4"/>
  <c r="N305" i="4"/>
  <c r="N281" i="4"/>
  <c r="N280" i="4"/>
  <c r="M281" i="4"/>
  <c r="M307" i="4"/>
  <c r="M305" i="4"/>
  <c r="M277" i="4"/>
  <c r="M138" i="4" s="1"/>
  <c r="M308" i="4"/>
  <c r="M291" i="4"/>
  <c r="M330" i="4"/>
  <c r="M342" i="4"/>
  <c r="M324" i="4"/>
  <c r="M328" i="4"/>
  <c r="M341" i="4"/>
  <c r="M292" i="4"/>
  <c r="M280" i="4"/>
  <c r="M318" i="4"/>
  <c r="M317" i="4"/>
  <c r="M325" i="4"/>
  <c r="M289" i="4"/>
  <c r="M286" i="4"/>
  <c r="M300" i="4"/>
  <c r="M296" i="4"/>
  <c r="M297" i="4"/>
  <c r="M293" i="4"/>
  <c r="M311" i="4"/>
  <c r="M312" i="4"/>
  <c r="M338" i="4"/>
  <c r="M279" i="4"/>
  <c r="M186" i="4" s="1"/>
  <c r="M314" i="4"/>
  <c r="M306" i="4"/>
  <c r="M316" i="4"/>
  <c r="M313" i="4"/>
  <c r="M336" i="4"/>
  <c r="M315" i="4"/>
  <c r="M295" i="4"/>
  <c r="M285" i="4"/>
  <c r="M301" i="4"/>
  <c r="M290" i="4"/>
  <c r="M335" i="4"/>
  <c r="M319" i="4"/>
  <c r="M278" i="4"/>
  <c r="M334" i="4"/>
  <c r="M302" i="4"/>
  <c r="M320" i="4"/>
  <c r="M327" i="4"/>
  <c r="M321" i="4"/>
  <c r="M333" i="4"/>
  <c r="M322" i="4"/>
  <c r="M298" i="4"/>
  <c r="M284" i="4"/>
  <c r="M287" i="4"/>
  <c r="M326" i="4"/>
  <c r="M332" i="4"/>
  <c r="M323" i="4"/>
  <c r="M303" i="4"/>
  <c r="M294" i="4"/>
  <c r="M343" i="4"/>
  <c r="M331" i="4"/>
  <c r="M344" i="4"/>
  <c r="M275" i="4"/>
  <c r="M329" i="4"/>
  <c r="M282" i="4"/>
  <c r="M299" i="4"/>
  <c r="M283" i="4"/>
  <c r="M340" i="4"/>
  <c r="M339" i="4"/>
  <c r="M304" i="4"/>
  <c r="M288" i="4"/>
  <c r="M276" i="4"/>
  <c r="M337" i="4"/>
  <c r="T75" i="4"/>
  <c r="O75" i="4"/>
  <c r="N75" i="4"/>
  <c r="M162" i="4"/>
  <c r="M90" i="4"/>
  <c r="M114" i="4"/>
  <c r="M75" i="4"/>
  <c r="K162" i="4"/>
  <c r="K114" i="4"/>
  <c r="K138" i="4"/>
  <c r="K75" i="4"/>
  <c r="J90" i="4"/>
  <c r="J75" i="4"/>
  <c r="V75" i="4"/>
  <c r="L90" i="4"/>
  <c r="L75" i="4"/>
  <c r="P75" i="4"/>
  <c r="R90" i="4"/>
  <c r="R75" i="4"/>
  <c r="Q75" i="4"/>
  <c r="S75" i="4"/>
  <c r="U114" i="4"/>
  <c r="U90" i="4"/>
  <c r="U75" i="4"/>
  <c r="H75" i="4"/>
  <c r="H278" i="4"/>
  <c r="H162" i="4" s="1"/>
  <c r="H279" i="4"/>
  <c r="H186" i="4" s="1"/>
  <c r="H280" i="4"/>
  <c r="H281" i="4"/>
  <c r="H282" i="4"/>
  <c r="H283" i="4"/>
  <c r="H286" i="4"/>
  <c r="H289" i="4"/>
  <c r="H291" i="4"/>
  <c r="H292" i="4"/>
  <c r="H293" i="4"/>
  <c r="H294" i="4"/>
  <c r="H295" i="4"/>
  <c r="H296" i="4"/>
  <c r="H297" i="4"/>
  <c r="H298" i="4"/>
  <c r="H299" i="4"/>
  <c r="H300" i="4"/>
  <c r="H301" i="4"/>
  <c r="H302" i="4"/>
  <c r="H303" i="4"/>
  <c r="H304" i="4"/>
  <c r="H305" i="4"/>
  <c r="H306" i="4"/>
  <c r="H307" i="4"/>
  <c r="H308" i="4"/>
  <c r="H284" i="4"/>
  <c r="H285" i="4"/>
  <c r="H287" i="4"/>
  <c r="H288" i="4"/>
  <c r="H290"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D346" i="4" a="1"/>
  <c r="D204" i="4" s="1"/>
  <c r="B347" i="4" a="1"/>
  <c r="B211" i="4" s="1"/>
  <c r="C347" i="4" a="1"/>
  <c r="C211" i="4" s="1"/>
  <c r="B346" i="4" a="1"/>
  <c r="B204" i="4" s="1"/>
  <c r="D347" i="4" a="1"/>
  <c r="D211" i="4" s="1"/>
  <c r="C346" i="4" a="1"/>
  <c r="C204" i="4" s="1"/>
  <c r="W179" i="4"/>
  <c r="W83" i="4"/>
  <c r="W131" i="4"/>
  <c r="W155" i="4"/>
  <c r="W107" i="4"/>
  <c r="E65" i="3"/>
  <c r="B14" i="6"/>
  <c r="E104" i="2"/>
  <c r="E75" i="3" s="1"/>
  <c r="D68" i="4"/>
  <c r="D31" i="7"/>
  <c r="B68" i="4"/>
  <c r="B31" i="7"/>
  <c r="K214" i="4"/>
  <c r="K215" i="4" s="1"/>
  <c r="L214" i="4"/>
  <c r="L215" i="4" s="1"/>
  <c r="M214" i="4"/>
  <c r="M215" i="4" s="1"/>
  <c r="N214" i="4"/>
  <c r="N215" i="4" s="1"/>
  <c r="O214" i="4"/>
  <c r="O215" i="4" s="1"/>
  <c r="P214" i="4"/>
  <c r="P215" i="4" s="1"/>
  <c r="Q214" i="4"/>
  <c r="Q215" i="4" s="1"/>
  <c r="R214" i="4"/>
  <c r="R215" i="4" s="1"/>
  <c r="S214" i="4"/>
  <c r="S215" i="4" s="1"/>
  <c r="T214" i="4"/>
  <c r="T215" i="4" s="1"/>
  <c r="U214" i="4"/>
  <c r="U215" i="4" s="1"/>
  <c r="V214" i="4"/>
  <c r="V215" i="4" s="1"/>
  <c r="Q96" i="4"/>
  <c r="R96" i="4"/>
  <c r="S96" i="4"/>
  <c r="T96" i="4"/>
  <c r="U96" i="4"/>
  <c r="H96" i="4"/>
  <c r="I96" i="4"/>
  <c r="J96" i="4"/>
  <c r="K96" i="4"/>
  <c r="V96" i="4"/>
  <c r="M96" i="4"/>
  <c r="L96" i="4"/>
  <c r="N96" i="4"/>
  <c r="O96" i="4"/>
  <c r="P96" i="4"/>
  <c r="W147" i="4"/>
  <c r="W195" i="4"/>
  <c r="W99" i="4"/>
  <c r="W123" i="4"/>
  <c r="W171" i="4"/>
  <c r="B96" i="4"/>
  <c r="B214" i="4"/>
  <c r="B215" i="4" s="1"/>
  <c r="D214" i="4"/>
  <c r="D215" i="4" s="1"/>
  <c r="H214" i="4"/>
  <c r="H215" i="4" s="1"/>
  <c r="J214" i="4"/>
  <c r="J215" i="4" s="1"/>
  <c r="C96" i="4"/>
  <c r="D96" i="4"/>
  <c r="C73" i="2"/>
  <c r="C214" i="4"/>
  <c r="I214" i="4"/>
  <c r="I215" i="4" s="1"/>
  <c r="W214" i="4"/>
  <c r="W215" i="4" s="1"/>
  <c r="W96" i="4"/>
  <c r="E105" i="2"/>
  <c r="E106" i="2"/>
  <c r="B39" i="3"/>
  <c r="B45" i="3" s="1"/>
  <c r="C45" i="3" s="1"/>
  <c r="W41" i="4"/>
  <c r="W53" i="4" s="1"/>
  <c r="W76" i="4"/>
  <c r="W229" i="4"/>
  <c r="W230" i="4" s="1"/>
  <c r="W254" i="4" s="1"/>
  <c r="W174" i="4"/>
  <c r="W102" i="4"/>
  <c r="W126" i="4"/>
  <c r="W150" i="4"/>
  <c r="W198" i="4"/>
  <c r="W242" i="4"/>
  <c r="C229" i="4"/>
  <c r="C230" i="4" s="1"/>
  <c r="C242" i="4"/>
  <c r="D126" i="4"/>
  <c r="D198" i="4"/>
  <c r="D150" i="4"/>
  <c r="D102" i="4"/>
  <c r="D174" i="4"/>
  <c r="D56" i="3"/>
  <c r="D52" i="6" s="1"/>
  <c r="B56" i="3"/>
  <c r="C56" i="3"/>
  <c r="C52" i="6" s="1"/>
  <c r="C76" i="4"/>
  <c r="D229" i="4"/>
  <c r="D230" i="4" s="1"/>
  <c r="D242" i="4"/>
  <c r="D76" i="4"/>
  <c r="M44" i="4"/>
  <c r="M45" i="4"/>
  <c r="O44" i="4"/>
  <c r="O229" i="4" s="1"/>
  <c r="O230" i="4" s="1"/>
  <c r="O254" i="4" s="1"/>
  <c r="O45" i="4"/>
  <c r="P44" i="4"/>
  <c r="P45" i="4"/>
  <c r="Q44" i="4"/>
  <c r="Q45" i="4"/>
  <c r="L44" i="4"/>
  <c r="L45" i="4"/>
  <c r="N44" i="4"/>
  <c r="N45" i="4"/>
  <c r="R44" i="4"/>
  <c r="R45" i="4"/>
  <c r="S44" i="4"/>
  <c r="S45" i="4"/>
  <c r="V44" i="4"/>
  <c r="V45" i="4"/>
  <c r="T44" i="4"/>
  <c r="T45" i="4"/>
  <c r="U44" i="4"/>
  <c r="U45" i="4"/>
  <c r="B23" i="5"/>
  <c r="C23" i="5"/>
  <c r="D23" i="5"/>
  <c r="E23" i="5"/>
  <c r="F23" i="5"/>
  <c r="H44" i="4"/>
  <c r="H45" i="4"/>
  <c r="I44" i="4"/>
  <c r="I45" i="4"/>
  <c r="J44" i="4"/>
  <c r="J45" i="4"/>
  <c r="K44" i="4"/>
  <c r="K45" i="4"/>
  <c r="B229" i="4"/>
  <c r="B230" i="4" s="1"/>
  <c r="B242" i="4"/>
  <c r="B76" i="4"/>
  <c r="I87" i="4"/>
  <c r="I111" i="4"/>
  <c r="I112" i="4" s="1"/>
  <c r="I183" i="4"/>
  <c r="I184" i="4" s="1"/>
  <c r="I159" i="4"/>
  <c r="I160" i="4" s="1"/>
  <c r="I135" i="4"/>
  <c r="I136" i="4" s="1"/>
  <c r="D87" i="4"/>
  <c r="D93" i="4" s="1"/>
  <c r="D95" i="4" s="1"/>
  <c r="D111" i="4"/>
  <c r="D183" i="4"/>
  <c r="D135" i="4"/>
  <c r="D159" i="4"/>
  <c r="D36" i="7"/>
  <c r="T74" i="4"/>
  <c r="O74" i="4"/>
  <c r="N74" i="4"/>
  <c r="M74" i="4"/>
  <c r="K74" i="4"/>
  <c r="J74" i="4"/>
  <c r="H74" i="4"/>
  <c r="V74" i="4"/>
  <c r="L74" i="4"/>
  <c r="P74" i="4"/>
  <c r="R74" i="4"/>
  <c r="C87" i="4"/>
  <c r="C111" i="4"/>
  <c r="C183" i="4"/>
  <c r="C135" i="4"/>
  <c r="C159" i="4"/>
  <c r="C36" i="7"/>
  <c r="Q74" i="4"/>
  <c r="S74" i="4"/>
  <c r="U74" i="4"/>
  <c r="B87" i="4"/>
  <c r="B93" i="4" s="1"/>
  <c r="B95" i="4" s="1"/>
  <c r="B111" i="4"/>
  <c r="B183" i="4"/>
  <c r="B135" i="4"/>
  <c r="B159" i="4"/>
  <c r="B36" i="7"/>
  <c r="C68" i="4"/>
  <c r="C31" i="7"/>
  <c r="D99" i="4"/>
  <c r="D123" i="4"/>
  <c r="D147" i="4"/>
  <c r="D195" i="4"/>
  <c r="D171" i="4"/>
  <c r="D66" i="4"/>
  <c r="D29" i="7"/>
  <c r="M65" i="4"/>
  <c r="M66" i="4" s="1"/>
  <c r="M86" i="4" s="1"/>
  <c r="M69" i="4"/>
  <c r="L65" i="4"/>
  <c r="L66" i="4" s="1"/>
  <c r="L86" i="4" s="1"/>
  <c r="L69" i="4"/>
  <c r="O65" i="4"/>
  <c r="O66" i="4" s="1"/>
  <c r="O86" i="4" s="1"/>
  <c r="O69" i="4"/>
  <c r="N65" i="4"/>
  <c r="N66" i="4" s="1"/>
  <c r="N86" i="4" s="1"/>
  <c r="N69" i="4"/>
  <c r="C99" i="4"/>
  <c r="C123" i="4"/>
  <c r="C147" i="4"/>
  <c r="C195" i="4"/>
  <c r="C171" i="4"/>
  <c r="P65" i="4"/>
  <c r="P66" i="4" s="1"/>
  <c r="P86" i="4" s="1"/>
  <c r="P69" i="4"/>
  <c r="C66" i="4"/>
  <c r="C29" i="7"/>
  <c r="Q65" i="4"/>
  <c r="Q66" i="4" s="1"/>
  <c r="Q86" i="4" s="1"/>
  <c r="Q69" i="4"/>
  <c r="R65" i="4"/>
  <c r="R66" i="4" s="1"/>
  <c r="R86" i="4" s="1"/>
  <c r="R69" i="4"/>
  <c r="S65" i="4"/>
  <c r="S66" i="4" s="1"/>
  <c r="S86" i="4" s="1"/>
  <c r="S69" i="4"/>
  <c r="T65" i="4"/>
  <c r="T66" i="4" s="1"/>
  <c r="T86" i="4" s="1"/>
  <c r="T69" i="4"/>
  <c r="U65" i="4"/>
  <c r="U66" i="4" s="1"/>
  <c r="U86" i="4" s="1"/>
  <c r="U69" i="4"/>
  <c r="V65" i="4"/>
  <c r="V66" i="4" s="1"/>
  <c r="V86" i="4" s="1"/>
  <c r="V69" i="4"/>
  <c r="H65" i="4"/>
  <c r="H66" i="4" s="1"/>
  <c r="H86" i="4" s="1"/>
  <c r="H69" i="4"/>
  <c r="I65" i="4"/>
  <c r="I66" i="4" s="1"/>
  <c r="I86" i="4" s="1"/>
  <c r="I69" i="4"/>
  <c r="J65" i="4"/>
  <c r="J66" i="4" s="1"/>
  <c r="J86" i="4" s="1"/>
  <c r="J69" i="4"/>
  <c r="K65" i="4"/>
  <c r="K66" i="4" s="1"/>
  <c r="K86" i="4" s="1"/>
  <c r="K69" i="4"/>
  <c r="B99" i="4"/>
  <c r="B123" i="4"/>
  <c r="B147" i="4"/>
  <c r="B171" i="4"/>
  <c r="B195" i="4"/>
  <c r="B66" i="4"/>
  <c r="B29" i="7"/>
  <c r="V98" i="4"/>
  <c r="V122" i="4"/>
  <c r="V146" i="4"/>
  <c r="V194" i="4"/>
  <c r="V170" i="4"/>
  <c r="C198" i="4"/>
  <c r="F58" i="1"/>
  <c r="T98" i="4"/>
  <c r="T122" i="4"/>
  <c r="T146" i="4"/>
  <c r="T170" i="4"/>
  <c r="T194" i="4"/>
  <c r="S98" i="4"/>
  <c r="S122" i="4"/>
  <c r="S146" i="4"/>
  <c r="S194" i="4"/>
  <c r="S170" i="4"/>
  <c r="R98" i="4"/>
  <c r="R122" i="4"/>
  <c r="R146" i="4"/>
  <c r="R194" i="4"/>
  <c r="R170" i="4"/>
  <c r="C174" i="4"/>
  <c r="E58" i="1"/>
  <c r="Q98" i="4"/>
  <c r="Q122" i="4"/>
  <c r="Q146" i="4"/>
  <c r="Q170" i="4"/>
  <c r="Q194" i="4"/>
  <c r="P98" i="4"/>
  <c r="P122" i="4"/>
  <c r="P146" i="4"/>
  <c r="P194" i="4"/>
  <c r="P170" i="4"/>
  <c r="N98" i="4"/>
  <c r="N122" i="4"/>
  <c r="N146" i="4"/>
  <c r="N194" i="4"/>
  <c r="N170" i="4"/>
  <c r="M98" i="4"/>
  <c r="M122" i="4"/>
  <c r="M146" i="4"/>
  <c r="M194" i="4"/>
  <c r="M170" i="4"/>
  <c r="L98" i="4"/>
  <c r="L122" i="4"/>
  <c r="L146" i="4"/>
  <c r="L170" i="4"/>
  <c r="L194" i="4"/>
  <c r="K98" i="4"/>
  <c r="K122" i="4"/>
  <c r="K146" i="4"/>
  <c r="K194" i="4"/>
  <c r="K170" i="4"/>
  <c r="J98" i="4"/>
  <c r="J122" i="4"/>
  <c r="J146" i="4"/>
  <c r="J170" i="4"/>
  <c r="J194" i="4"/>
  <c r="I98" i="4"/>
  <c r="I122" i="4"/>
  <c r="I146" i="4"/>
  <c r="I194" i="4"/>
  <c r="I170" i="4"/>
  <c r="H98" i="4"/>
  <c r="H122" i="4"/>
  <c r="H146" i="4"/>
  <c r="H194" i="4"/>
  <c r="H170" i="4"/>
  <c r="U98" i="4"/>
  <c r="U122" i="4"/>
  <c r="U146" i="4"/>
  <c r="U194" i="4"/>
  <c r="U170" i="4"/>
  <c r="C102" i="4"/>
  <c r="B58" i="1"/>
  <c r="C126" i="4"/>
  <c r="C58" i="1"/>
  <c r="D58" i="1"/>
  <c r="C150" i="4"/>
  <c r="N128" i="4"/>
  <c r="N152" i="4"/>
  <c r="N155" i="4" s="1"/>
  <c r="N80" i="4"/>
  <c r="N83" i="4" s="1"/>
  <c r="N104" i="4"/>
  <c r="N107" i="4" s="1"/>
  <c r="N176" i="4"/>
  <c r="N179" i="4" s="1"/>
  <c r="M80" i="4"/>
  <c r="M83" i="4" s="1"/>
  <c r="M104" i="4"/>
  <c r="M107" i="4" s="1"/>
  <c r="M152" i="4"/>
  <c r="M176" i="4"/>
  <c r="M179" i="4" s="1"/>
  <c r="M128" i="4"/>
  <c r="M131" i="4" s="1"/>
  <c r="J152" i="4"/>
  <c r="J80" i="4"/>
  <c r="J83" i="4" s="1"/>
  <c r="J104" i="4"/>
  <c r="J107" i="4" s="1"/>
  <c r="J176" i="4"/>
  <c r="J179" i="4" s="1"/>
  <c r="J128" i="4"/>
  <c r="J131" i="4" s="1"/>
  <c r="T80" i="4"/>
  <c r="T83" i="4" s="1"/>
  <c r="T104" i="4"/>
  <c r="T107" i="4" s="1"/>
  <c r="T152" i="4"/>
  <c r="T155" i="4" s="1"/>
  <c r="T176" i="4"/>
  <c r="T179" i="4" s="1"/>
  <c r="T128" i="4"/>
  <c r="T131" i="4" s="1"/>
  <c r="R128" i="4"/>
  <c r="R80" i="4"/>
  <c r="R83" i="4" s="1"/>
  <c r="R104" i="4"/>
  <c r="R107" i="4" s="1"/>
  <c r="R176" i="4"/>
  <c r="R179" i="4" s="1"/>
  <c r="R152" i="4"/>
  <c r="R155" i="4" s="1"/>
  <c r="U128" i="4"/>
  <c r="U131" i="4" s="1"/>
  <c r="U176" i="4"/>
  <c r="U179" i="4" s="1"/>
  <c r="U152" i="4"/>
  <c r="U155" i="4" s="1"/>
  <c r="U80" i="4"/>
  <c r="U83" i="4" s="1"/>
  <c r="U104" i="4"/>
  <c r="U107" i="4" s="1"/>
  <c r="S128" i="4"/>
  <c r="S131" i="4" s="1"/>
  <c r="S152" i="4"/>
  <c r="S155" i="4" s="1"/>
  <c r="S176" i="4"/>
  <c r="S179" i="4" s="1"/>
  <c r="S80" i="4"/>
  <c r="S83" i="4" s="1"/>
  <c r="S104" i="4"/>
  <c r="S107" i="4" s="1"/>
  <c r="V80" i="4"/>
  <c r="V83" i="4" s="1"/>
  <c r="V104" i="4"/>
  <c r="V107" i="4" s="1"/>
  <c r="V176" i="4"/>
  <c r="V179" i="4" s="1"/>
  <c r="V152" i="4"/>
  <c r="V155" i="4" s="1"/>
  <c r="V128" i="4"/>
  <c r="V131" i="4" s="1"/>
  <c r="H128" i="4"/>
  <c r="H152" i="4"/>
  <c r="H155" i="4" s="1"/>
  <c r="H176" i="4"/>
  <c r="H179" i="4" s="1"/>
  <c r="H80" i="4"/>
  <c r="H83" i="4" s="1"/>
  <c r="H104" i="4"/>
  <c r="H107" i="4" s="1"/>
  <c r="O80" i="4"/>
  <c r="O83" i="4" s="1"/>
  <c r="O104" i="4"/>
  <c r="O107" i="4" s="1"/>
  <c r="O128" i="4"/>
  <c r="O131" i="4" s="1"/>
  <c r="O176" i="4"/>
  <c r="O152" i="4"/>
  <c r="O155" i="4" s="1"/>
  <c r="L80" i="4"/>
  <c r="L83" i="4" s="1"/>
  <c r="L104" i="4"/>
  <c r="L107" i="4" s="1"/>
  <c r="L128" i="4"/>
  <c r="L131" i="4" s="1"/>
  <c r="L176" i="4"/>
  <c r="L152" i="4"/>
  <c r="L155" i="4" s="1"/>
  <c r="I176" i="4"/>
  <c r="I128" i="4"/>
  <c r="I152" i="4"/>
  <c r="I80" i="4"/>
  <c r="I83" i="4" s="1"/>
  <c r="I104" i="4"/>
  <c r="I107" i="4" s="1"/>
  <c r="K152" i="4"/>
  <c r="K80" i="4"/>
  <c r="K83" i="4" s="1"/>
  <c r="K104" i="4"/>
  <c r="K107" i="4" s="1"/>
  <c r="K128" i="4"/>
  <c r="K131" i="4" s="1"/>
  <c r="K176" i="4"/>
  <c r="K179" i="4" s="1"/>
  <c r="H43" i="4"/>
  <c r="I43" i="4"/>
  <c r="J43" i="4"/>
  <c r="K43" i="4"/>
  <c r="L43" i="4"/>
  <c r="M43" i="4"/>
  <c r="N43" i="4"/>
  <c r="O43" i="4"/>
  <c r="P43" i="4"/>
  <c r="Q43" i="4"/>
  <c r="R43" i="4"/>
  <c r="S43" i="4"/>
  <c r="T43" i="4"/>
  <c r="U43" i="4"/>
  <c r="V43" i="4"/>
  <c r="E42" i="3"/>
  <c r="E43" i="3"/>
  <c r="F90" i="2"/>
  <c r="D43" i="3"/>
  <c r="D42" i="3"/>
  <c r="C42" i="3"/>
  <c r="C43" i="3"/>
  <c r="P6" i="4"/>
  <c r="B42" i="3"/>
  <c r="B43" i="3"/>
  <c r="B36" i="3"/>
  <c r="Q6" i="4"/>
  <c r="B37" i="3"/>
  <c r="B6" i="6"/>
  <c r="B7" i="6"/>
  <c r="B10" i="6"/>
  <c r="B17" i="6"/>
  <c r="R9" i="4"/>
  <c r="E64" i="3"/>
  <c r="L73" i="4"/>
  <c r="K73" i="4"/>
  <c r="Q73" i="4"/>
  <c r="T73" i="4"/>
  <c r="U73" i="4"/>
  <c r="H73" i="4"/>
  <c r="O73" i="4"/>
  <c r="V73" i="4"/>
  <c r="M73" i="4"/>
  <c r="I73" i="4"/>
  <c r="P73" i="4"/>
  <c r="R73" i="4"/>
  <c r="S73" i="4"/>
  <c r="N73" i="4"/>
  <c r="J73" i="4"/>
  <c r="K67" i="4"/>
  <c r="K68" i="4" s="1"/>
  <c r="U67" i="4"/>
  <c r="U68" i="4" s="1"/>
  <c r="V67" i="4"/>
  <c r="V68" i="4" s="1"/>
  <c r="H67" i="4"/>
  <c r="H68" i="4" s="1"/>
  <c r="I67" i="4"/>
  <c r="I68" i="4" s="1"/>
  <c r="J67" i="4"/>
  <c r="J68" i="4" s="1"/>
  <c r="T67" i="4"/>
  <c r="T68" i="4" s="1"/>
  <c r="L67" i="4"/>
  <c r="L68" i="4" s="1"/>
  <c r="M67" i="4"/>
  <c r="M68" i="4" s="1"/>
  <c r="N67" i="4"/>
  <c r="N68" i="4" s="1"/>
  <c r="O67" i="4"/>
  <c r="O68" i="4" s="1"/>
  <c r="P67" i="4"/>
  <c r="P68" i="4" s="1"/>
  <c r="Q67" i="4"/>
  <c r="Q68" i="4" s="1"/>
  <c r="R67" i="4"/>
  <c r="R68" i="4" s="1"/>
  <c r="S67" i="4"/>
  <c r="S68" i="4" s="1"/>
  <c r="O55" i="4"/>
  <c r="H55" i="4"/>
  <c r="T55" i="4"/>
  <c r="V55" i="4"/>
  <c r="U55" i="4"/>
  <c r="M55" i="4"/>
  <c r="B126" i="4"/>
  <c r="B102" i="4"/>
  <c r="B150" i="4"/>
  <c r="B198" i="4"/>
  <c r="B174" i="4"/>
  <c r="J55" i="4"/>
  <c r="I55" i="4"/>
  <c r="S55" i="4"/>
  <c r="N55" i="4"/>
  <c r="K55" i="4"/>
  <c r="L55" i="4"/>
  <c r="P346" i="4" l="1" a="1"/>
  <c r="P204" i="4" s="1"/>
  <c r="O347" i="4" a="1"/>
  <c r="O211" i="4" s="1"/>
  <c r="P347" i="4" a="1"/>
  <c r="P211" i="4" s="1"/>
  <c r="O346" i="4" a="1"/>
  <c r="O204" i="4" s="1"/>
  <c r="I346" i="4" a="1"/>
  <c r="I204" i="4" s="1"/>
  <c r="I347" i="4" a="1"/>
  <c r="I211" i="4" s="1"/>
  <c r="T347" i="4" a="1"/>
  <c r="T211" i="4" s="1"/>
  <c r="T346" i="4" a="1"/>
  <c r="T204" i="4" s="1"/>
  <c r="I179" i="4"/>
  <c r="I131" i="4"/>
  <c r="M347" i="4" a="1"/>
  <c r="M211" i="4" s="1"/>
  <c r="M346" i="4" a="1"/>
  <c r="M204" i="4" s="1"/>
  <c r="Q347" i="4" a="1"/>
  <c r="Q211" i="4" s="1"/>
  <c r="Q346" i="4" a="1"/>
  <c r="Q204" i="4" s="1"/>
  <c r="L346" i="4" a="1"/>
  <c r="L204" i="4" s="1"/>
  <c r="L347" i="4" a="1"/>
  <c r="L211" i="4" s="1"/>
  <c r="N346" i="4" a="1"/>
  <c r="N204" i="4" s="1"/>
  <c r="N347" i="4" a="1"/>
  <c r="N211" i="4" s="1"/>
  <c r="R347" i="4" a="1"/>
  <c r="R211" i="4" s="1"/>
  <c r="R346" i="4" a="1"/>
  <c r="R204" i="4" s="1"/>
  <c r="S346" i="4" a="1"/>
  <c r="S204" i="4" s="1"/>
  <c r="S347" i="4" a="1"/>
  <c r="S211" i="4" s="1"/>
  <c r="V347" i="4" a="1"/>
  <c r="V211" i="4" s="1"/>
  <c r="V346" i="4" a="1"/>
  <c r="V204" i="4" s="1"/>
  <c r="U346" i="4" a="1"/>
  <c r="U204" i="4" s="1"/>
  <c r="U347" i="4" a="1"/>
  <c r="U211" i="4" s="1"/>
  <c r="J347" i="4" a="1"/>
  <c r="J211" i="4" s="1"/>
  <c r="J346" i="4" a="1"/>
  <c r="J204" i="4" s="1"/>
  <c r="K346" i="4" a="1"/>
  <c r="K204" i="4" s="1"/>
  <c r="K347" i="4" a="1"/>
  <c r="K211" i="4" s="1"/>
  <c r="N131" i="4"/>
  <c r="M155" i="4"/>
  <c r="J155" i="4"/>
  <c r="R131" i="4"/>
  <c r="H131" i="4"/>
  <c r="O179" i="4"/>
  <c r="L179" i="4"/>
  <c r="I155" i="4"/>
  <c r="K155" i="4"/>
  <c r="W71" i="4"/>
  <c r="W70" i="4"/>
  <c r="W159" i="4"/>
  <c r="W135" i="4"/>
  <c r="W111" i="4"/>
  <c r="W183" i="4"/>
  <c r="W87" i="4"/>
  <c r="H346" i="4" a="1"/>
  <c r="H204" i="4" s="1"/>
  <c r="H347" i="4" a="1"/>
  <c r="H211" i="4" s="1"/>
  <c r="C215" i="4"/>
  <c r="B47" i="1" s="1"/>
  <c r="B260" i="4"/>
  <c r="C209" i="4"/>
  <c r="D70" i="4"/>
  <c r="D71" i="4"/>
  <c r="D32" i="7"/>
  <c r="B70" i="4"/>
  <c r="B71" i="4"/>
  <c r="B32" i="7"/>
  <c r="W93" i="4"/>
  <c r="W95" i="4" s="1"/>
  <c r="W88" i="4"/>
  <c r="B44" i="3"/>
  <c r="B41" i="4"/>
  <c r="B53" i="4" s="1"/>
  <c r="C41" i="4"/>
  <c r="D41" i="4"/>
  <c r="D53" i="4" s="1"/>
  <c r="W209" i="4"/>
  <c r="W153" i="4"/>
  <c r="W154" i="4" s="1"/>
  <c r="W129" i="4"/>
  <c r="W130" i="4" s="1"/>
  <c r="W177" i="4"/>
  <c r="W178" i="4" s="1"/>
  <c r="W81" i="4"/>
  <c r="W82" i="4" s="1"/>
  <c r="W105" i="4"/>
  <c r="W106" i="4" s="1"/>
  <c r="W54" i="4"/>
  <c r="W56" i="4" s="1"/>
  <c r="H150" i="4"/>
  <c r="U174" i="4"/>
  <c r="U126" i="4"/>
  <c r="H198" i="4"/>
  <c r="U198" i="4"/>
  <c r="H102" i="4"/>
  <c r="H126" i="4"/>
  <c r="H174" i="4"/>
  <c r="U102" i="4"/>
  <c r="U150" i="4"/>
  <c r="W61" i="4"/>
  <c r="B50" i="3"/>
  <c r="B51" i="3" s="1"/>
  <c r="B61" i="4"/>
  <c r="C61" i="4"/>
  <c r="D61" i="4"/>
  <c r="H61" i="4"/>
  <c r="I61" i="4"/>
  <c r="J61" i="4"/>
  <c r="K61" i="4"/>
  <c r="L61" i="4"/>
  <c r="M61" i="4"/>
  <c r="N61" i="4"/>
  <c r="O61" i="4"/>
  <c r="P61" i="4"/>
  <c r="Q61" i="4"/>
  <c r="R61" i="4"/>
  <c r="S61" i="4"/>
  <c r="T61" i="4"/>
  <c r="U61" i="4"/>
  <c r="V61" i="4"/>
  <c r="B53" i="1"/>
  <c r="B52" i="6"/>
  <c r="K150" i="4"/>
  <c r="J150" i="4"/>
  <c r="I102" i="4"/>
  <c r="I174" i="4"/>
  <c r="T126" i="4"/>
  <c r="T174" i="4"/>
  <c r="K126" i="4"/>
  <c r="K174" i="4"/>
  <c r="J102" i="4"/>
  <c r="J174" i="4"/>
  <c r="I126" i="4"/>
  <c r="I198" i="4"/>
  <c r="T102" i="4"/>
  <c r="T150" i="4"/>
  <c r="T198" i="4"/>
  <c r="K102" i="4"/>
  <c r="K198" i="4"/>
  <c r="J126" i="4"/>
  <c r="J198" i="4"/>
  <c r="I150" i="4"/>
  <c r="P242" i="4"/>
  <c r="P229" i="4"/>
  <c r="P230" i="4" s="1"/>
  <c r="P254" i="4" s="1"/>
  <c r="T242" i="4"/>
  <c r="T229" i="4"/>
  <c r="T230" i="4" s="1"/>
  <c r="T254" i="4" s="1"/>
  <c r="U242" i="4"/>
  <c r="U229" i="4"/>
  <c r="U230" i="4" s="1"/>
  <c r="U254" i="4" s="1"/>
  <c r="H242" i="4"/>
  <c r="H229" i="4"/>
  <c r="H230" i="4" s="1"/>
  <c r="H254" i="4" s="1"/>
  <c r="I242" i="4"/>
  <c r="I229" i="4"/>
  <c r="I230" i="4" s="1"/>
  <c r="I254" i="4" s="1"/>
  <c r="J242" i="4"/>
  <c r="J229" i="4"/>
  <c r="J230" i="4" s="1"/>
  <c r="J254" i="4" s="1"/>
  <c r="K242" i="4"/>
  <c r="K229" i="4"/>
  <c r="K230" i="4" s="1"/>
  <c r="K254" i="4" s="1"/>
  <c r="I88" i="4"/>
  <c r="I76" i="4"/>
  <c r="I209" i="4" s="1"/>
  <c r="D14" i="1"/>
  <c r="D254" i="4"/>
  <c r="M76" i="4"/>
  <c r="O126" i="4"/>
  <c r="O102" i="4"/>
  <c r="O174" i="4"/>
  <c r="O150" i="4"/>
  <c r="O198" i="4"/>
  <c r="O242" i="4"/>
  <c r="O76" i="4"/>
  <c r="P76" i="4"/>
  <c r="Q76" i="4"/>
  <c r="L76" i="4"/>
  <c r="N76" i="4"/>
  <c r="R76" i="4"/>
  <c r="S76" i="4"/>
  <c r="V76" i="4"/>
  <c r="T76" i="4"/>
  <c r="U76" i="4"/>
  <c r="H76" i="4"/>
  <c r="J76" i="4"/>
  <c r="K76" i="4"/>
  <c r="B14" i="1"/>
  <c r="B254" i="4"/>
  <c r="D117" i="4"/>
  <c r="D119" i="4" s="1"/>
  <c r="D112" i="4"/>
  <c r="D189" i="4"/>
  <c r="D191" i="4" s="1"/>
  <c r="D184" i="4"/>
  <c r="D141" i="4"/>
  <c r="D143" i="4" s="1"/>
  <c r="D136" i="4"/>
  <c r="D165" i="4"/>
  <c r="D167" i="4" s="1"/>
  <c r="D160" i="4"/>
  <c r="T87" i="4"/>
  <c r="T111" i="4"/>
  <c r="T135" i="4"/>
  <c r="T183" i="4"/>
  <c r="T159" i="4"/>
  <c r="O87" i="4"/>
  <c r="O111" i="4"/>
  <c r="O135" i="4"/>
  <c r="O159" i="4"/>
  <c r="O183" i="4"/>
  <c r="N87" i="4"/>
  <c r="N111" i="4"/>
  <c r="N183" i="4"/>
  <c r="N135" i="4"/>
  <c r="N159" i="4"/>
  <c r="M87" i="4"/>
  <c r="M111" i="4"/>
  <c r="M183" i="4"/>
  <c r="M135" i="4"/>
  <c r="M159" i="4"/>
  <c r="K87" i="4"/>
  <c r="K111" i="4"/>
  <c r="K183" i="4"/>
  <c r="K159" i="4"/>
  <c r="K135" i="4"/>
  <c r="J87" i="4"/>
  <c r="J111" i="4"/>
  <c r="J159" i="4"/>
  <c r="J183" i="4"/>
  <c r="J135" i="4"/>
  <c r="H87" i="4"/>
  <c r="H111" i="4"/>
  <c r="H135" i="4"/>
  <c r="H183" i="4"/>
  <c r="H159" i="4"/>
  <c r="V87" i="4"/>
  <c r="V111" i="4"/>
  <c r="V135" i="4"/>
  <c r="V183" i="4"/>
  <c r="V159" i="4"/>
  <c r="L87" i="4"/>
  <c r="L111" i="4"/>
  <c r="L183" i="4"/>
  <c r="L159" i="4"/>
  <c r="L135" i="4"/>
  <c r="P87" i="4"/>
  <c r="P111" i="4"/>
  <c r="P183" i="4"/>
  <c r="P159" i="4"/>
  <c r="P135" i="4"/>
  <c r="R87" i="4"/>
  <c r="R111" i="4"/>
  <c r="R183" i="4"/>
  <c r="R135" i="4"/>
  <c r="R159" i="4"/>
  <c r="C93" i="4"/>
  <c r="B49" i="7"/>
  <c r="C112" i="4"/>
  <c r="C57" i="1" s="1"/>
  <c r="C117" i="4"/>
  <c r="C49" i="7"/>
  <c r="C189" i="4"/>
  <c r="C184" i="4"/>
  <c r="F57" i="1" s="1"/>
  <c r="F49" i="7"/>
  <c r="C136" i="4"/>
  <c r="D57" i="1" s="1"/>
  <c r="C141" i="4"/>
  <c r="D49" i="7"/>
  <c r="C160" i="4"/>
  <c r="E57" i="1" s="1"/>
  <c r="C165" i="4"/>
  <c r="E49" i="7"/>
  <c r="Q87" i="4"/>
  <c r="Q111" i="4"/>
  <c r="Q183" i="4"/>
  <c r="Q135" i="4"/>
  <c r="Q159" i="4"/>
  <c r="S87" i="4"/>
  <c r="S111" i="4"/>
  <c r="S183" i="4"/>
  <c r="S135" i="4"/>
  <c r="S159" i="4"/>
  <c r="U87" i="4"/>
  <c r="U111" i="4"/>
  <c r="U159" i="4"/>
  <c r="U183" i="4"/>
  <c r="U135" i="4"/>
  <c r="B117" i="4"/>
  <c r="B119" i="4" s="1"/>
  <c r="B112" i="4"/>
  <c r="B189" i="4"/>
  <c r="B191" i="4" s="1"/>
  <c r="B184" i="4"/>
  <c r="B141" i="4"/>
  <c r="B143" i="4" s="1"/>
  <c r="B136" i="4"/>
  <c r="B165" i="4"/>
  <c r="B167" i="4" s="1"/>
  <c r="B160" i="4"/>
  <c r="C70" i="4"/>
  <c r="C71" i="4"/>
  <c r="C32" i="7"/>
  <c r="D86" i="4"/>
  <c r="D30" i="7"/>
  <c r="M99" i="4"/>
  <c r="M123" i="4"/>
  <c r="M147" i="4"/>
  <c r="M171" i="4"/>
  <c r="M195" i="4"/>
  <c r="L99" i="4"/>
  <c r="L123" i="4"/>
  <c r="L147" i="4"/>
  <c r="L195" i="4"/>
  <c r="L171" i="4"/>
  <c r="O99" i="4"/>
  <c r="O123" i="4"/>
  <c r="O147" i="4"/>
  <c r="O171" i="4"/>
  <c r="O195" i="4"/>
  <c r="N99" i="4"/>
  <c r="N123" i="4"/>
  <c r="N147" i="4"/>
  <c r="N195" i="4"/>
  <c r="N171" i="4"/>
  <c r="P99" i="4"/>
  <c r="P123" i="4"/>
  <c r="P147" i="4"/>
  <c r="P171" i="4"/>
  <c r="P195" i="4"/>
  <c r="C86" i="4"/>
  <c r="C30" i="7"/>
  <c r="Q99" i="4"/>
  <c r="Q123" i="4"/>
  <c r="Q147" i="4"/>
  <c r="Q195" i="4"/>
  <c r="Q171" i="4"/>
  <c r="R99" i="4"/>
  <c r="R123" i="4"/>
  <c r="R147" i="4"/>
  <c r="R195" i="4"/>
  <c r="R171" i="4"/>
  <c r="S99" i="4"/>
  <c r="S123" i="4"/>
  <c r="S147" i="4"/>
  <c r="S171" i="4"/>
  <c r="S195" i="4"/>
  <c r="T99" i="4"/>
  <c r="T123" i="4"/>
  <c r="T147" i="4"/>
  <c r="T195" i="4"/>
  <c r="T171" i="4"/>
  <c r="U99" i="4"/>
  <c r="U123" i="4"/>
  <c r="U147" i="4"/>
  <c r="U171" i="4"/>
  <c r="U195" i="4"/>
  <c r="V99" i="4"/>
  <c r="V123" i="4"/>
  <c r="V147" i="4"/>
  <c r="V171" i="4"/>
  <c r="V195" i="4"/>
  <c r="H99" i="4"/>
  <c r="H123" i="4"/>
  <c r="H147" i="4"/>
  <c r="H195" i="4"/>
  <c r="H171" i="4"/>
  <c r="I99" i="4"/>
  <c r="I123" i="4"/>
  <c r="I147" i="4"/>
  <c r="I195" i="4"/>
  <c r="I171" i="4"/>
  <c r="J99" i="4"/>
  <c r="J123" i="4"/>
  <c r="J147" i="4"/>
  <c r="J171" i="4"/>
  <c r="J195" i="4"/>
  <c r="K99" i="4"/>
  <c r="K123" i="4"/>
  <c r="K147" i="4"/>
  <c r="K195" i="4"/>
  <c r="K171" i="4"/>
  <c r="B86" i="4"/>
  <c r="B30" i="7"/>
  <c r="E63" i="3"/>
  <c r="U8" i="4"/>
  <c r="B46" i="5" s="1"/>
  <c r="P55" i="4"/>
  <c r="P176" i="4"/>
  <c r="P152" i="4"/>
  <c r="B41" i="5"/>
  <c r="P128" i="4"/>
  <c r="P80" i="4"/>
  <c r="P83" i="4" s="1"/>
  <c r="P104" i="4"/>
  <c r="P107" i="4" s="1"/>
  <c r="Q55" i="4"/>
  <c r="Q152" i="4"/>
  <c r="B42" i="5"/>
  <c r="Q80" i="4"/>
  <c r="Q83" i="4" s="1"/>
  <c r="Q104" i="4"/>
  <c r="Q107" i="4" s="1"/>
  <c r="Q176" i="4"/>
  <c r="Q179" i="4" s="1"/>
  <c r="Q128" i="4"/>
  <c r="Q131" i="4" s="1"/>
  <c r="B8" i="6"/>
  <c r="B11" i="6"/>
  <c r="B18" i="6"/>
  <c r="B26" i="6"/>
  <c r="C26" i="6" s="1"/>
  <c r="B43" i="5"/>
  <c r="R55" i="4"/>
  <c r="K71" i="4"/>
  <c r="K70" i="4"/>
  <c r="U71" i="4"/>
  <c r="U70" i="4"/>
  <c r="V71" i="4"/>
  <c r="V70" i="4"/>
  <c r="H71" i="4"/>
  <c r="H70" i="4"/>
  <c r="I71" i="4"/>
  <c r="I70" i="4"/>
  <c r="J71" i="4"/>
  <c r="J70" i="4"/>
  <c r="T71" i="4"/>
  <c r="T70" i="4"/>
  <c r="L71" i="4"/>
  <c r="L70" i="4"/>
  <c r="M71" i="4"/>
  <c r="M70" i="4"/>
  <c r="N71" i="4"/>
  <c r="N70" i="4"/>
  <c r="O71" i="4"/>
  <c r="O70" i="4"/>
  <c r="P71" i="4"/>
  <c r="P70" i="4"/>
  <c r="Q71" i="4"/>
  <c r="Q70" i="4"/>
  <c r="R71" i="4"/>
  <c r="R70" i="4"/>
  <c r="S71" i="4"/>
  <c r="S70" i="4"/>
  <c r="C14" i="1"/>
  <c r="E190" i="1" s="1"/>
  <c r="C254" i="4"/>
  <c r="I93" i="4"/>
  <c r="I95" i="4" s="1"/>
  <c r="I117" i="4"/>
  <c r="I119" i="4" s="1"/>
  <c r="I189" i="4"/>
  <c r="I191" i="4" s="1"/>
  <c r="I141" i="4"/>
  <c r="I143" i="4" s="1"/>
  <c r="I165" i="4"/>
  <c r="I167" i="4" s="1"/>
  <c r="V102" i="4"/>
  <c r="V126" i="4"/>
  <c r="V150" i="4"/>
  <c r="V198" i="4"/>
  <c r="V174" i="4"/>
  <c r="S102" i="4"/>
  <c r="S126" i="4"/>
  <c r="S150" i="4"/>
  <c r="S198" i="4"/>
  <c r="S174" i="4"/>
  <c r="R102" i="4"/>
  <c r="R126" i="4"/>
  <c r="R150" i="4"/>
  <c r="R198" i="4"/>
  <c r="R174" i="4"/>
  <c r="Q102" i="4"/>
  <c r="Q126" i="4"/>
  <c r="Q150" i="4"/>
  <c r="Q174" i="4"/>
  <c r="Q198" i="4"/>
  <c r="P102" i="4"/>
  <c r="P126" i="4"/>
  <c r="P150" i="4"/>
  <c r="P198" i="4"/>
  <c r="P174" i="4"/>
  <c r="N102" i="4"/>
  <c r="N126" i="4"/>
  <c r="N150" i="4"/>
  <c r="N198" i="4"/>
  <c r="N174" i="4"/>
  <c r="M102" i="4"/>
  <c r="M126" i="4"/>
  <c r="M150" i="4"/>
  <c r="M198" i="4"/>
  <c r="M174" i="4"/>
  <c r="L102" i="4"/>
  <c r="L126" i="4"/>
  <c r="L150" i="4"/>
  <c r="L174" i="4"/>
  <c r="L198" i="4"/>
  <c r="D209" i="4"/>
  <c r="M242" i="4"/>
  <c r="M229" i="4"/>
  <c r="M230" i="4" s="1"/>
  <c r="M254" i="4" s="1"/>
  <c r="Q242" i="4"/>
  <c r="Q229" i="4"/>
  <c r="Q230" i="4" s="1"/>
  <c r="Q254" i="4" s="1"/>
  <c r="L242" i="4"/>
  <c r="L229" i="4"/>
  <c r="L230" i="4" s="1"/>
  <c r="L254" i="4" s="1"/>
  <c r="N242" i="4"/>
  <c r="N229" i="4"/>
  <c r="N230" i="4" s="1"/>
  <c r="N254" i="4" s="1"/>
  <c r="R242" i="4"/>
  <c r="R229" i="4"/>
  <c r="R230" i="4" s="1"/>
  <c r="R254" i="4" s="1"/>
  <c r="S242" i="4"/>
  <c r="S229" i="4"/>
  <c r="S230" i="4" s="1"/>
  <c r="S254" i="4" s="1"/>
  <c r="V242" i="4"/>
  <c r="V229" i="4"/>
  <c r="V230" i="4" s="1"/>
  <c r="V254" i="4" s="1"/>
  <c r="B24" i="5"/>
  <c r="B25" i="5"/>
  <c r="B27" i="5"/>
  <c r="B28" i="5"/>
  <c r="B26" i="5"/>
  <c r="C24" i="5"/>
  <c r="C25" i="5"/>
  <c r="C27" i="5"/>
  <c r="C28" i="5"/>
  <c r="C26" i="5"/>
  <c r="D24" i="5"/>
  <c r="D27" i="5"/>
  <c r="D28" i="5"/>
  <c r="D26" i="5"/>
  <c r="D25" i="5"/>
  <c r="E24" i="5"/>
  <c r="E27" i="5"/>
  <c r="E28" i="5"/>
  <c r="E26" i="5"/>
  <c r="E25" i="5"/>
  <c r="F26" i="5"/>
  <c r="F24" i="5"/>
  <c r="F27" i="5"/>
  <c r="F28" i="5"/>
  <c r="F25" i="5"/>
  <c r="B209" i="4"/>
  <c r="W160" i="4" l="1"/>
  <c r="W165" i="4"/>
  <c r="W167" i="4" s="1"/>
  <c r="P155" i="4"/>
  <c r="P131" i="4"/>
  <c r="I206" i="4"/>
  <c r="W203" i="4"/>
  <c r="W89" i="4"/>
  <c r="W92" i="4" s="1"/>
  <c r="W113" i="4"/>
  <c r="W116" i="4" s="1"/>
  <c r="W161" i="4"/>
  <c r="W164" i="4" s="1"/>
  <c r="W166" i="4" s="1"/>
  <c r="W72" i="4"/>
  <c r="W137" i="4"/>
  <c r="W140" i="4" s="1"/>
  <c r="W185" i="4"/>
  <c r="W188" i="4" s="1"/>
  <c r="W136" i="4"/>
  <c r="W141" i="4"/>
  <c r="W143" i="4" s="1"/>
  <c r="W112" i="4"/>
  <c r="W117" i="4"/>
  <c r="W119" i="4" s="1"/>
  <c r="W184" i="4"/>
  <c r="W189" i="4"/>
  <c r="W191" i="4" s="1"/>
  <c r="P179" i="4"/>
  <c r="Q155" i="4"/>
  <c r="D206" i="4"/>
  <c r="D212" i="4" s="1"/>
  <c r="B206" i="4"/>
  <c r="B212" i="4" s="1"/>
  <c r="B65" i="5"/>
  <c r="F18" i="1"/>
  <c r="D203" i="4"/>
  <c r="B203" i="4"/>
  <c r="C203" i="4"/>
  <c r="K203" i="4"/>
  <c r="U203" i="4"/>
  <c r="V203" i="4"/>
  <c r="H188" i="4"/>
  <c r="H116" i="4"/>
  <c r="H203" i="4"/>
  <c r="I203" i="4"/>
  <c r="J203" i="4"/>
  <c r="T203" i="4"/>
  <c r="L203" i="4"/>
  <c r="M203" i="4"/>
  <c r="N203" i="4"/>
  <c r="O203" i="4"/>
  <c r="P203" i="4"/>
  <c r="Q203" i="4"/>
  <c r="R203" i="4"/>
  <c r="S164" i="4"/>
  <c r="S203" i="4"/>
  <c r="S140" i="4"/>
  <c r="W94" i="4"/>
  <c r="W91" i="4"/>
  <c r="W97" i="4" s="1"/>
  <c r="D72" i="4"/>
  <c r="D34" i="7" s="1"/>
  <c r="D89" i="4"/>
  <c r="D92" i="4" s="1"/>
  <c r="D113" i="4"/>
  <c r="D185" i="4"/>
  <c r="D188" i="4" s="1"/>
  <c r="D161" i="4"/>
  <c r="D164" i="4" s="1"/>
  <c r="D137" i="4"/>
  <c r="D140" i="4" s="1"/>
  <c r="D33" i="7"/>
  <c r="B72" i="4"/>
  <c r="B34" i="7" s="1"/>
  <c r="B89" i="4"/>
  <c r="B92" i="4" s="1"/>
  <c r="B113" i="4"/>
  <c r="B116" i="4" s="1"/>
  <c r="B185" i="4"/>
  <c r="B188" i="4" s="1"/>
  <c r="B161" i="4"/>
  <c r="B164" i="4" s="1"/>
  <c r="B137" i="4"/>
  <c r="B140" i="4" s="1"/>
  <c r="B33" i="7"/>
  <c r="W115" i="4"/>
  <c r="W118" i="4"/>
  <c r="W139" i="4"/>
  <c r="W142" i="4"/>
  <c r="W163" i="4"/>
  <c r="B105" i="4"/>
  <c r="B106" i="4" s="1"/>
  <c r="B153" i="4"/>
  <c r="B154" i="4" s="1"/>
  <c r="B54" i="4"/>
  <c r="B56" i="4" s="1"/>
  <c r="B81" i="4"/>
  <c r="B82" i="4" s="1"/>
  <c r="B177" i="4"/>
  <c r="B178" i="4" s="1"/>
  <c r="B233" i="4" s="1"/>
  <c r="B235" i="4" s="1"/>
  <c r="B129" i="4"/>
  <c r="B130" i="4" s="1"/>
  <c r="H41" i="4"/>
  <c r="H53" i="4" s="1"/>
  <c r="I41" i="4"/>
  <c r="I53" i="4" s="1"/>
  <c r="J41" i="4"/>
  <c r="J53" i="4" s="1"/>
  <c r="K41" i="4"/>
  <c r="K53" i="4" s="1"/>
  <c r="L41" i="4"/>
  <c r="L53" i="4" s="1"/>
  <c r="M41" i="4"/>
  <c r="M53" i="4" s="1"/>
  <c r="N41" i="4"/>
  <c r="N53" i="4" s="1"/>
  <c r="O41" i="4"/>
  <c r="O53" i="4" s="1"/>
  <c r="P41" i="4"/>
  <c r="P53" i="4" s="1"/>
  <c r="Q41" i="4"/>
  <c r="Q53" i="4" s="1"/>
  <c r="R41" i="4"/>
  <c r="R53" i="4" s="1"/>
  <c r="S41" i="4"/>
  <c r="S53" i="4" s="1"/>
  <c r="T41" i="4"/>
  <c r="T53" i="4" s="1"/>
  <c r="U41" i="4"/>
  <c r="U53" i="4" s="1"/>
  <c r="V41" i="4"/>
  <c r="V53" i="4" s="1"/>
  <c r="C53" i="4"/>
  <c r="D105" i="4"/>
  <c r="D106" i="4" s="1"/>
  <c r="D153" i="4"/>
  <c r="D154" i="4" s="1"/>
  <c r="D54" i="4"/>
  <c r="D56" i="4" s="1"/>
  <c r="D177" i="4"/>
  <c r="D178" i="4" s="1"/>
  <c r="D81" i="4"/>
  <c r="D82" i="4" s="1"/>
  <c r="D129" i="4"/>
  <c r="D130" i="4" s="1"/>
  <c r="W190" i="4"/>
  <c r="W187" i="4"/>
  <c r="W233" i="4"/>
  <c r="W235" i="4" s="1"/>
  <c r="W57" i="4"/>
  <c r="W60" i="4"/>
  <c r="W224" i="4" s="1"/>
  <c r="W156" i="4"/>
  <c r="W157" i="4" s="1"/>
  <c r="W84" i="4"/>
  <c r="W85" i="4" s="1"/>
  <c r="W132" i="4"/>
  <c r="W133" i="4" s="1"/>
  <c r="W180" i="4"/>
  <c r="W181" i="4" s="1"/>
  <c r="W108" i="4"/>
  <c r="W109" i="4" s="1"/>
  <c r="T88" i="4"/>
  <c r="T93" i="4"/>
  <c r="T95" i="4" s="1"/>
  <c r="T117" i="4"/>
  <c r="T119" i="4" s="1"/>
  <c r="T112" i="4"/>
  <c r="T141" i="4"/>
  <c r="T143" i="4" s="1"/>
  <c r="T136" i="4"/>
  <c r="T189" i="4"/>
  <c r="T191" i="4" s="1"/>
  <c r="T184" i="4"/>
  <c r="T165" i="4"/>
  <c r="T167" i="4" s="1"/>
  <c r="T160" i="4"/>
  <c r="O88" i="4"/>
  <c r="O93" i="4"/>
  <c r="O95" i="4" s="1"/>
  <c r="O117" i="4"/>
  <c r="O119" i="4" s="1"/>
  <c r="O112" i="4"/>
  <c r="O141" i="4"/>
  <c r="O143" i="4" s="1"/>
  <c r="O136" i="4"/>
  <c r="O165" i="4"/>
  <c r="O167" i="4" s="1"/>
  <c r="O160" i="4"/>
  <c r="O189" i="4"/>
  <c r="O191" i="4" s="1"/>
  <c r="O184" i="4"/>
  <c r="N88" i="4"/>
  <c r="N93" i="4"/>
  <c r="N95" i="4" s="1"/>
  <c r="N117" i="4"/>
  <c r="N119" i="4" s="1"/>
  <c r="N112" i="4"/>
  <c r="N189" i="4"/>
  <c r="N191" i="4" s="1"/>
  <c r="N184" i="4"/>
  <c r="N141" i="4"/>
  <c r="N143" i="4" s="1"/>
  <c r="N136" i="4"/>
  <c r="N165" i="4"/>
  <c r="N167" i="4" s="1"/>
  <c r="N160" i="4"/>
  <c r="M93" i="4"/>
  <c r="M95" i="4" s="1"/>
  <c r="M88" i="4"/>
  <c r="M117" i="4"/>
  <c r="M119" i="4" s="1"/>
  <c r="M112" i="4"/>
  <c r="M189" i="4"/>
  <c r="M191" i="4" s="1"/>
  <c r="M184" i="4"/>
  <c r="M141" i="4"/>
  <c r="M143" i="4" s="1"/>
  <c r="M136" i="4"/>
  <c r="M165" i="4"/>
  <c r="M167" i="4" s="1"/>
  <c r="M160" i="4"/>
  <c r="K93" i="4"/>
  <c r="K95" i="4" s="1"/>
  <c r="K88" i="4"/>
  <c r="K117" i="4"/>
  <c r="K119" i="4" s="1"/>
  <c r="K112" i="4"/>
  <c r="K189" i="4"/>
  <c r="K191" i="4" s="1"/>
  <c r="K184" i="4"/>
  <c r="K165" i="4"/>
  <c r="K167" i="4" s="1"/>
  <c r="K160" i="4"/>
  <c r="K141" i="4"/>
  <c r="K143" i="4" s="1"/>
  <c r="K136" i="4"/>
  <c r="J93" i="4"/>
  <c r="J95" i="4" s="1"/>
  <c r="J88" i="4"/>
  <c r="J117" i="4"/>
  <c r="J119" i="4" s="1"/>
  <c r="J112" i="4"/>
  <c r="J165" i="4"/>
  <c r="J167" i="4" s="1"/>
  <c r="J160" i="4"/>
  <c r="J189" i="4"/>
  <c r="J191" i="4" s="1"/>
  <c r="J184" i="4"/>
  <c r="J141" i="4"/>
  <c r="J143" i="4" s="1"/>
  <c r="J136" i="4"/>
  <c r="H88" i="4"/>
  <c r="H93" i="4"/>
  <c r="H95" i="4" s="1"/>
  <c r="H117" i="4"/>
  <c r="H119" i="4" s="1"/>
  <c r="H112" i="4"/>
  <c r="H141" i="4"/>
  <c r="H143" i="4" s="1"/>
  <c r="H136" i="4"/>
  <c r="H189" i="4"/>
  <c r="H191" i="4" s="1"/>
  <c r="H184" i="4"/>
  <c r="H165" i="4"/>
  <c r="H167" i="4" s="1"/>
  <c r="H160" i="4"/>
  <c r="V88" i="4"/>
  <c r="V93" i="4"/>
  <c r="V95" i="4" s="1"/>
  <c r="V117" i="4"/>
  <c r="V119" i="4" s="1"/>
  <c r="V112" i="4"/>
  <c r="V141" i="4"/>
  <c r="V143" i="4" s="1"/>
  <c r="V136" i="4"/>
  <c r="V189" i="4"/>
  <c r="V191" i="4" s="1"/>
  <c r="V184" i="4"/>
  <c r="V165" i="4"/>
  <c r="V167" i="4" s="1"/>
  <c r="V160" i="4"/>
  <c r="L93" i="4"/>
  <c r="L95" i="4" s="1"/>
  <c r="L88" i="4"/>
  <c r="L117" i="4"/>
  <c r="L119" i="4" s="1"/>
  <c r="L112" i="4"/>
  <c r="L189" i="4"/>
  <c r="L191" i="4" s="1"/>
  <c r="L184" i="4"/>
  <c r="L165" i="4"/>
  <c r="L167" i="4" s="1"/>
  <c r="L160" i="4"/>
  <c r="L141" i="4"/>
  <c r="L143" i="4" s="1"/>
  <c r="L136" i="4"/>
  <c r="P88" i="4"/>
  <c r="P93" i="4"/>
  <c r="P95" i="4" s="1"/>
  <c r="P117" i="4"/>
  <c r="P119" i="4" s="1"/>
  <c r="P112" i="4"/>
  <c r="P189" i="4"/>
  <c r="P191" i="4" s="1"/>
  <c r="P184" i="4"/>
  <c r="P165" i="4"/>
  <c r="P167" i="4" s="1"/>
  <c r="P160" i="4"/>
  <c r="P141" i="4"/>
  <c r="P143" i="4" s="1"/>
  <c r="P136" i="4"/>
  <c r="R93" i="4"/>
  <c r="R95" i="4" s="1"/>
  <c r="R88" i="4"/>
  <c r="R117" i="4"/>
  <c r="R119" i="4" s="1"/>
  <c r="R112" i="4"/>
  <c r="R189" i="4"/>
  <c r="R191" i="4" s="1"/>
  <c r="R184" i="4"/>
  <c r="R141" i="4"/>
  <c r="R143" i="4" s="1"/>
  <c r="R136" i="4"/>
  <c r="R165" i="4"/>
  <c r="R167" i="4" s="1"/>
  <c r="R160" i="4"/>
  <c r="B52" i="7"/>
  <c r="C95" i="4"/>
  <c r="C52" i="7"/>
  <c r="C119" i="4"/>
  <c r="F52" i="7"/>
  <c r="C191" i="4"/>
  <c r="C143" i="4"/>
  <c r="D52" i="7"/>
  <c r="E52" i="7"/>
  <c r="C167" i="4"/>
  <c r="Q88" i="4"/>
  <c r="Q93" i="4"/>
  <c r="Q95" i="4" s="1"/>
  <c r="Q117" i="4"/>
  <c r="Q119" i="4" s="1"/>
  <c r="Q112" i="4"/>
  <c r="Q189" i="4"/>
  <c r="Q191" i="4" s="1"/>
  <c r="Q184" i="4"/>
  <c r="Q141" i="4"/>
  <c r="Q143" i="4" s="1"/>
  <c r="Q136" i="4"/>
  <c r="Q165" i="4"/>
  <c r="Q167" i="4" s="1"/>
  <c r="Q160" i="4"/>
  <c r="S88" i="4"/>
  <c r="S93" i="4"/>
  <c r="S95" i="4" s="1"/>
  <c r="S117" i="4"/>
  <c r="S119" i="4" s="1"/>
  <c r="S112" i="4"/>
  <c r="S189" i="4"/>
  <c r="S191" i="4" s="1"/>
  <c r="S184" i="4"/>
  <c r="S141" i="4"/>
  <c r="S143" i="4" s="1"/>
  <c r="S136" i="4"/>
  <c r="S165" i="4"/>
  <c r="S167" i="4" s="1"/>
  <c r="S160" i="4"/>
  <c r="U88" i="4"/>
  <c r="U93" i="4"/>
  <c r="U95" i="4" s="1"/>
  <c r="U117" i="4"/>
  <c r="U119" i="4" s="1"/>
  <c r="U112" i="4"/>
  <c r="U165" i="4"/>
  <c r="U167" i="4" s="1"/>
  <c r="U160" i="4"/>
  <c r="U189" i="4"/>
  <c r="U191" i="4" s="1"/>
  <c r="U184" i="4"/>
  <c r="U141" i="4"/>
  <c r="U143" i="4" s="1"/>
  <c r="U136" i="4"/>
  <c r="C72" i="4"/>
  <c r="C34" i="7" s="1"/>
  <c r="C89" i="4"/>
  <c r="C92" i="4" s="1"/>
  <c r="C113" i="4"/>
  <c r="C116" i="4" s="1"/>
  <c r="C185" i="4"/>
  <c r="C188" i="4" s="1"/>
  <c r="C161" i="4"/>
  <c r="C164" i="4" s="1"/>
  <c r="C137" i="4"/>
  <c r="C33" i="7"/>
  <c r="C88" i="4"/>
  <c r="B57" i="1" s="1"/>
  <c r="B48" i="7"/>
  <c r="K72" i="4"/>
  <c r="K89" i="4"/>
  <c r="K92" i="4" s="1"/>
  <c r="K113" i="4"/>
  <c r="K116" i="4" s="1"/>
  <c r="K161" i="4"/>
  <c r="K164" i="4" s="1"/>
  <c r="K185" i="4"/>
  <c r="K188" i="4" s="1"/>
  <c r="K137" i="4"/>
  <c r="K140" i="4" s="1"/>
  <c r="U72" i="4"/>
  <c r="U89" i="4"/>
  <c r="U92" i="4" s="1"/>
  <c r="U113" i="4"/>
  <c r="U116" i="4" s="1"/>
  <c r="U185" i="4"/>
  <c r="U188" i="4" s="1"/>
  <c r="U161" i="4"/>
  <c r="U164" i="4" s="1"/>
  <c r="U137" i="4"/>
  <c r="U140" i="4" s="1"/>
  <c r="V72" i="4"/>
  <c r="V89" i="4"/>
  <c r="V92" i="4" s="1"/>
  <c r="V113" i="4"/>
  <c r="V116" i="4" s="1"/>
  <c r="V137" i="4"/>
  <c r="V140" i="4" s="1"/>
  <c r="V185" i="4"/>
  <c r="V188" i="4" s="1"/>
  <c r="V161" i="4"/>
  <c r="V164" i="4" s="1"/>
  <c r="H72" i="4"/>
  <c r="H89" i="4"/>
  <c r="H92" i="4" s="1"/>
  <c r="H113" i="4"/>
  <c r="H185" i="4"/>
  <c r="H161" i="4"/>
  <c r="H164" i="4" s="1"/>
  <c r="H137" i="4"/>
  <c r="H140" i="4" s="1"/>
  <c r="I72" i="4"/>
  <c r="I89" i="4"/>
  <c r="I92" i="4" s="1"/>
  <c r="I113" i="4"/>
  <c r="I116" i="4" s="1"/>
  <c r="I185" i="4"/>
  <c r="I188" i="4" s="1"/>
  <c r="I137" i="4"/>
  <c r="I140" i="4" s="1"/>
  <c r="I161" i="4"/>
  <c r="I164" i="4" s="1"/>
  <c r="J72" i="4"/>
  <c r="J89" i="4"/>
  <c r="J92" i="4" s="1"/>
  <c r="J113" i="4"/>
  <c r="J116" i="4" s="1"/>
  <c r="J185" i="4"/>
  <c r="J188" i="4" s="1"/>
  <c r="J161" i="4"/>
  <c r="J164" i="4" s="1"/>
  <c r="J137" i="4"/>
  <c r="J140" i="4" s="1"/>
  <c r="T72" i="4"/>
  <c r="T89" i="4"/>
  <c r="T92" i="4" s="1"/>
  <c r="T113" i="4"/>
  <c r="T116" i="4" s="1"/>
  <c r="T161" i="4"/>
  <c r="T164" i="4" s="1"/>
  <c r="T185" i="4"/>
  <c r="T188" i="4" s="1"/>
  <c r="T137" i="4"/>
  <c r="T140" i="4" s="1"/>
  <c r="L72" i="4"/>
  <c r="L89" i="4"/>
  <c r="L92" i="4" s="1"/>
  <c r="L113" i="4"/>
  <c r="L116" i="4" s="1"/>
  <c r="L185" i="4"/>
  <c r="L188" i="4" s="1"/>
  <c r="L137" i="4"/>
  <c r="L140" i="4" s="1"/>
  <c r="L161" i="4"/>
  <c r="L164" i="4" s="1"/>
  <c r="M72" i="4"/>
  <c r="M89" i="4"/>
  <c r="M92" i="4" s="1"/>
  <c r="M113" i="4"/>
  <c r="M116" i="4" s="1"/>
  <c r="M137" i="4"/>
  <c r="M140" i="4" s="1"/>
  <c r="M185" i="4"/>
  <c r="M188" i="4" s="1"/>
  <c r="M161" i="4"/>
  <c r="M164" i="4" s="1"/>
  <c r="N72" i="4"/>
  <c r="N89" i="4"/>
  <c r="N92" i="4" s="1"/>
  <c r="N113" i="4"/>
  <c r="N116" i="4" s="1"/>
  <c r="N185" i="4"/>
  <c r="N188" i="4" s="1"/>
  <c r="N161" i="4"/>
  <c r="N164" i="4" s="1"/>
  <c r="N137" i="4"/>
  <c r="N140" i="4" s="1"/>
  <c r="O72" i="4"/>
  <c r="O89" i="4"/>
  <c r="O92" i="4" s="1"/>
  <c r="O113" i="4"/>
  <c r="O116" i="4" s="1"/>
  <c r="O185" i="4"/>
  <c r="O188" i="4" s="1"/>
  <c r="O161" i="4"/>
  <c r="O164" i="4" s="1"/>
  <c r="O137" i="4"/>
  <c r="O140" i="4" s="1"/>
  <c r="P72" i="4"/>
  <c r="P89" i="4"/>
  <c r="P92" i="4" s="1"/>
  <c r="P113" i="4"/>
  <c r="P116" i="4" s="1"/>
  <c r="P185" i="4"/>
  <c r="P188" i="4" s="1"/>
  <c r="P161" i="4"/>
  <c r="P164" i="4" s="1"/>
  <c r="P137" i="4"/>
  <c r="P140" i="4" s="1"/>
  <c r="Q72" i="4"/>
  <c r="Q89" i="4"/>
  <c r="Q92" i="4" s="1"/>
  <c r="Q113" i="4"/>
  <c r="Q116" i="4" s="1"/>
  <c r="Q161" i="4"/>
  <c r="Q164" i="4" s="1"/>
  <c r="Q185" i="4"/>
  <c r="Q188" i="4" s="1"/>
  <c r="Q137" i="4"/>
  <c r="Q140" i="4" s="1"/>
  <c r="R72" i="4"/>
  <c r="R89" i="4"/>
  <c r="R92" i="4" s="1"/>
  <c r="R113" i="4"/>
  <c r="R116" i="4" s="1"/>
  <c r="R185" i="4"/>
  <c r="R188" i="4" s="1"/>
  <c r="R137" i="4"/>
  <c r="R140" i="4" s="1"/>
  <c r="R161" i="4"/>
  <c r="R164" i="4" s="1"/>
  <c r="S72" i="4"/>
  <c r="S89" i="4"/>
  <c r="S92" i="4" s="1"/>
  <c r="S113" i="4"/>
  <c r="S116" i="4" s="1"/>
  <c r="S185" i="4"/>
  <c r="S188" i="4" s="1"/>
  <c r="S137" i="4"/>
  <c r="S161" i="4"/>
  <c r="M209" i="4"/>
  <c r="O209" i="4"/>
  <c r="P209" i="4"/>
  <c r="Q209" i="4"/>
  <c r="L209" i="4"/>
  <c r="N209" i="4"/>
  <c r="R209" i="4"/>
  <c r="S209" i="4"/>
  <c r="V209" i="4"/>
  <c r="T209" i="4"/>
  <c r="U209" i="4"/>
  <c r="H209" i="4"/>
  <c r="J209" i="4"/>
  <c r="K209" i="4"/>
  <c r="D88" i="4"/>
  <c r="B88" i="4"/>
  <c r="W206" i="4" l="1"/>
  <c r="W212" i="4" s="1"/>
  <c r="W213" i="4" s="1"/>
  <c r="V206" i="4"/>
  <c r="V212" i="4" s="1"/>
  <c r="V213" i="4" s="1"/>
  <c r="L206" i="4"/>
  <c r="L212" i="4" s="1"/>
  <c r="L213" i="4" s="1"/>
  <c r="P206" i="4"/>
  <c r="P212" i="4" s="1"/>
  <c r="P213" i="4" s="1"/>
  <c r="R206" i="4"/>
  <c r="R212" i="4" s="1"/>
  <c r="R213" i="4" s="1"/>
  <c r="O206" i="4"/>
  <c r="O212" i="4" s="1"/>
  <c r="O213" i="4" s="1"/>
  <c r="Q206" i="4"/>
  <c r="Q212" i="4" s="1"/>
  <c r="Q213" i="4" s="1"/>
  <c r="S206" i="4"/>
  <c r="S212" i="4" s="1"/>
  <c r="S213" i="4" s="1"/>
  <c r="U206" i="4"/>
  <c r="U212" i="4" s="1"/>
  <c r="U213" i="4" s="1"/>
  <c r="K206" i="4"/>
  <c r="K212" i="4" s="1"/>
  <c r="N206" i="4"/>
  <c r="N212" i="4" s="1"/>
  <c r="J206" i="4"/>
  <c r="J212" i="4" s="1"/>
  <c r="T206" i="4"/>
  <c r="T212" i="4" s="1"/>
  <c r="M206" i="4"/>
  <c r="M212" i="4" s="1"/>
  <c r="H206" i="4"/>
  <c r="H212" i="4" s="1"/>
  <c r="C206" i="4"/>
  <c r="C212" i="4" s="1"/>
  <c r="M213" i="4"/>
  <c r="T213" i="4"/>
  <c r="N213" i="4"/>
  <c r="K213" i="4"/>
  <c r="H213" i="4"/>
  <c r="J213" i="4"/>
  <c r="C139" i="4"/>
  <c r="D50" i="7" s="1"/>
  <c r="C140" i="4"/>
  <c r="D115" i="4"/>
  <c r="D116" i="4"/>
  <c r="D118" i="4" s="1"/>
  <c r="W236" i="4"/>
  <c r="B39" i="7"/>
  <c r="B163" i="4"/>
  <c r="B166" i="4"/>
  <c r="D187" i="4"/>
  <c r="D190" i="4"/>
  <c r="D163" i="4"/>
  <c r="D166" i="4"/>
  <c r="D139" i="4"/>
  <c r="D142" i="4"/>
  <c r="D91" i="4"/>
  <c r="D97" i="4" s="1"/>
  <c r="D94" i="4"/>
  <c r="B91" i="4"/>
  <c r="B97" i="4" s="1"/>
  <c r="B94" i="4"/>
  <c r="C115" i="4"/>
  <c r="C50" i="7" s="1"/>
  <c r="C187" i="4"/>
  <c r="F50" i="7" s="1"/>
  <c r="C163" i="4"/>
  <c r="E50" i="7" s="1"/>
  <c r="B115" i="4"/>
  <c r="B118" i="4"/>
  <c r="B187" i="4"/>
  <c r="B190" i="4"/>
  <c r="B139" i="4"/>
  <c r="B142" i="4"/>
  <c r="B132" i="4"/>
  <c r="B133" i="4" s="1"/>
  <c r="W205" i="4"/>
  <c r="D108" i="4"/>
  <c r="D109" i="4" s="1"/>
  <c r="D156" i="4"/>
  <c r="D157" i="4" s="1"/>
  <c r="D132" i="4"/>
  <c r="D133" i="4" s="1"/>
  <c r="B108" i="4"/>
  <c r="B109" i="4" s="1"/>
  <c r="B156" i="4"/>
  <c r="B157" i="4" s="1"/>
  <c r="B84" i="4"/>
  <c r="B85" i="4" s="1"/>
  <c r="B180" i="4"/>
  <c r="B181" i="4" s="1"/>
  <c r="B60" i="4"/>
  <c r="B224" i="4" s="1"/>
  <c r="B57" i="4"/>
  <c r="H153" i="4"/>
  <c r="H154" i="4" s="1"/>
  <c r="H156" i="4" s="1"/>
  <c r="H157" i="4" s="1"/>
  <c r="H129" i="4"/>
  <c r="H130" i="4" s="1"/>
  <c r="H132" i="4" s="1"/>
  <c r="H133" i="4" s="1"/>
  <c r="H177" i="4"/>
  <c r="H178" i="4" s="1"/>
  <c r="H105" i="4"/>
  <c r="H106" i="4" s="1"/>
  <c r="H108" i="4" s="1"/>
  <c r="H109" i="4" s="1"/>
  <c r="H81" i="4"/>
  <c r="H82" i="4" s="1"/>
  <c r="H84" i="4" s="1"/>
  <c r="H85" i="4" s="1"/>
  <c r="H54" i="4"/>
  <c r="H56" i="4" s="1"/>
  <c r="I153" i="4"/>
  <c r="I154" i="4" s="1"/>
  <c r="I156" i="4" s="1"/>
  <c r="I157" i="4" s="1"/>
  <c r="I177" i="4"/>
  <c r="I178" i="4" s="1"/>
  <c r="I129" i="4"/>
  <c r="I130" i="4" s="1"/>
  <c r="I132" i="4" s="1"/>
  <c r="I133" i="4" s="1"/>
  <c r="I105" i="4"/>
  <c r="I106" i="4" s="1"/>
  <c r="I108" i="4" s="1"/>
  <c r="I109" i="4" s="1"/>
  <c r="I81" i="4"/>
  <c r="I82" i="4" s="1"/>
  <c r="I84" i="4" s="1"/>
  <c r="I85" i="4" s="1"/>
  <c r="I54" i="4"/>
  <c r="I56" i="4" s="1"/>
  <c r="J129" i="4"/>
  <c r="J130" i="4" s="1"/>
  <c r="J132" i="4" s="1"/>
  <c r="J133" i="4" s="1"/>
  <c r="J153" i="4"/>
  <c r="J154" i="4" s="1"/>
  <c r="J156" i="4" s="1"/>
  <c r="J157" i="4" s="1"/>
  <c r="J177" i="4"/>
  <c r="J178" i="4" s="1"/>
  <c r="J105" i="4"/>
  <c r="J106" i="4" s="1"/>
  <c r="J108" i="4" s="1"/>
  <c r="J109" i="4" s="1"/>
  <c r="J81" i="4"/>
  <c r="J82" i="4" s="1"/>
  <c r="J84" i="4" s="1"/>
  <c r="J85" i="4" s="1"/>
  <c r="J54" i="4"/>
  <c r="J56" i="4" s="1"/>
  <c r="K153" i="4"/>
  <c r="K154" i="4" s="1"/>
  <c r="K156" i="4" s="1"/>
  <c r="K157" i="4" s="1"/>
  <c r="K177" i="4"/>
  <c r="K178" i="4" s="1"/>
  <c r="K129" i="4"/>
  <c r="K130" i="4" s="1"/>
  <c r="K132" i="4" s="1"/>
  <c r="K133" i="4" s="1"/>
  <c r="K105" i="4"/>
  <c r="K106" i="4" s="1"/>
  <c r="K108" i="4" s="1"/>
  <c r="K109" i="4" s="1"/>
  <c r="K81" i="4"/>
  <c r="K82" i="4" s="1"/>
  <c r="K84" i="4" s="1"/>
  <c r="K85" i="4" s="1"/>
  <c r="K54" i="4"/>
  <c r="K56" i="4" s="1"/>
  <c r="L153" i="4"/>
  <c r="L154" i="4" s="1"/>
  <c r="L156" i="4" s="1"/>
  <c r="L157" i="4" s="1"/>
  <c r="L129" i="4"/>
  <c r="L130" i="4" s="1"/>
  <c r="L132" i="4" s="1"/>
  <c r="L133" i="4" s="1"/>
  <c r="L177" i="4"/>
  <c r="L178" i="4" s="1"/>
  <c r="L105" i="4"/>
  <c r="L106" i="4" s="1"/>
  <c r="L108" i="4" s="1"/>
  <c r="L109" i="4" s="1"/>
  <c r="L81" i="4"/>
  <c r="L82" i="4" s="1"/>
  <c r="L84" i="4" s="1"/>
  <c r="L85" i="4" s="1"/>
  <c r="L54" i="4"/>
  <c r="L56" i="4" s="1"/>
  <c r="M129" i="4"/>
  <c r="M130" i="4" s="1"/>
  <c r="M132" i="4" s="1"/>
  <c r="M133" i="4" s="1"/>
  <c r="M153" i="4"/>
  <c r="M154" i="4" s="1"/>
  <c r="M156" i="4" s="1"/>
  <c r="M157" i="4" s="1"/>
  <c r="M177" i="4"/>
  <c r="M178" i="4" s="1"/>
  <c r="M105" i="4"/>
  <c r="M106" i="4" s="1"/>
  <c r="M108" i="4" s="1"/>
  <c r="M109" i="4" s="1"/>
  <c r="M81" i="4"/>
  <c r="M82" i="4" s="1"/>
  <c r="M84" i="4" s="1"/>
  <c r="M85" i="4" s="1"/>
  <c r="M54" i="4"/>
  <c r="M56" i="4" s="1"/>
  <c r="N129" i="4"/>
  <c r="N130" i="4" s="1"/>
  <c r="N132" i="4" s="1"/>
  <c r="N133" i="4" s="1"/>
  <c r="N153" i="4"/>
  <c r="N154" i="4" s="1"/>
  <c r="N156" i="4" s="1"/>
  <c r="N157" i="4" s="1"/>
  <c r="N177" i="4"/>
  <c r="N178" i="4" s="1"/>
  <c r="N105" i="4"/>
  <c r="N106" i="4" s="1"/>
  <c r="N108" i="4" s="1"/>
  <c r="N109" i="4" s="1"/>
  <c r="N81" i="4"/>
  <c r="N82" i="4" s="1"/>
  <c r="N84" i="4" s="1"/>
  <c r="N85" i="4" s="1"/>
  <c r="N54" i="4"/>
  <c r="N56" i="4" s="1"/>
  <c r="O153" i="4"/>
  <c r="O154" i="4" s="1"/>
  <c r="O156" i="4" s="1"/>
  <c r="O157" i="4" s="1"/>
  <c r="O177" i="4"/>
  <c r="O178" i="4" s="1"/>
  <c r="O129" i="4"/>
  <c r="O130" i="4" s="1"/>
  <c r="O132" i="4" s="1"/>
  <c r="O133" i="4" s="1"/>
  <c r="O105" i="4"/>
  <c r="O106" i="4" s="1"/>
  <c r="O108" i="4" s="1"/>
  <c r="O109" i="4" s="1"/>
  <c r="O81" i="4"/>
  <c r="O82" i="4" s="1"/>
  <c r="O84" i="4" s="1"/>
  <c r="O85" i="4" s="1"/>
  <c r="O54" i="4"/>
  <c r="O56" i="4" s="1"/>
  <c r="P129" i="4"/>
  <c r="P130" i="4" s="1"/>
  <c r="P132" i="4" s="1"/>
  <c r="P133" i="4" s="1"/>
  <c r="P177" i="4"/>
  <c r="P178" i="4" s="1"/>
  <c r="P153" i="4"/>
  <c r="P154" i="4" s="1"/>
  <c r="P156" i="4" s="1"/>
  <c r="P157" i="4" s="1"/>
  <c r="P105" i="4"/>
  <c r="P106" i="4" s="1"/>
  <c r="P108" i="4" s="1"/>
  <c r="P109" i="4" s="1"/>
  <c r="P81" i="4"/>
  <c r="P82" i="4" s="1"/>
  <c r="P84" i="4" s="1"/>
  <c r="P85" i="4" s="1"/>
  <c r="P54" i="4"/>
  <c r="P56" i="4" s="1"/>
  <c r="Q129" i="4"/>
  <c r="Q130" i="4" s="1"/>
  <c r="Q132" i="4" s="1"/>
  <c r="Q133" i="4" s="1"/>
  <c r="Q177" i="4"/>
  <c r="Q178" i="4" s="1"/>
  <c r="Q153" i="4"/>
  <c r="Q154" i="4" s="1"/>
  <c r="Q156" i="4" s="1"/>
  <c r="Q157" i="4" s="1"/>
  <c r="Q105" i="4"/>
  <c r="Q106" i="4" s="1"/>
  <c r="Q108" i="4" s="1"/>
  <c r="Q109" i="4" s="1"/>
  <c r="Q81" i="4"/>
  <c r="Q82" i="4" s="1"/>
  <c r="Q84" i="4" s="1"/>
  <c r="Q85" i="4" s="1"/>
  <c r="Q54" i="4"/>
  <c r="Q56" i="4" s="1"/>
  <c r="R129" i="4"/>
  <c r="R130" i="4" s="1"/>
  <c r="R132" i="4" s="1"/>
  <c r="R133" i="4" s="1"/>
  <c r="R177" i="4"/>
  <c r="R178" i="4" s="1"/>
  <c r="R153" i="4"/>
  <c r="R154" i="4" s="1"/>
  <c r="R156" i="4" s="1"/>
  <c r="R157" i="4" s="1"/>
  <c r="R105" i="4"/>
  <c r="R106" i="4" s="1"/>
  <c r="R108" i="4" s="1"/>
  <c r="R109" i="4" s="1"/>
  <c r="R81" i="4"/>
  <c r="R82" i="4" s="1"/>
  <c r="R84" i="4" s="1"/>
  <c r="R85" i="4" s="1"/>
  <c r="R54" i="4"/>
  <c r="R56" i="4" s="1"/>
  <c r="S153" i="4"/>
  <c r="S154" i="4" s="1"/>
  <c r="S156" i="4" s="1"/>
  <c r="S157" i="4" s="1"/>
  <c r="S129" i="4"/>
  <c r="S130" i="4" s="1"/>
  <c r="S132" i="4" s="1"/>
  <c r="S133" i="4" s="1"/>
  <c r="S177" i="4"/>
  <c r="S178" i="4" s="1"/>
  <c r="S105" i="4"/>
  <c r="S106" i="4" s="1"/>
  <c r="S108" i="4" s="1"/>
  <c r="S109" i="4" s="1"/>
  <c r="S81" i="4"/>
  <c r="S82" i="4" s="1"/>
  <c r="S84" i="4" s="1"/>
  <c r="S85" i="4" s="1"/>
  <c r="S54" i="4"/>
  <c r="S56" i="4" s="1"/>
  <c r="T129" i="4"/>
  <c r="T130" i="4" s="1"/>
  <c r="T132" i="4" s="1"/>
  <c r="T133" i="4" s="1"/>
  <c r="T153" i="4"/>
  <c r="T154" i="4" s="1"/>
  <c r="T156" i="4" s="1"/>
  <c r="T157" i="4" s="1"/>
  <c r="T177" i="4"/>
  <c r="T178" i="4" s="1"/>
  <c r="T105" i="4"/>
  <c r="T106" i="4" s="1"/>
  <c r="T108" i="4" s="1"/>
  <c r="T109" i="4" s="1"/>
  <c r="T81" i="4"/>
  <c r="T82" i="4" s="1"/>
  <c r="T84" i="4" s="1"/>
  <c r="T85" i="4" s="1"/>
  <c r="T54" i="4"/>
  <c r="T56" i="4" s="1"/>
  <c r="V129" i="4"/>
  <c r="V130" i="4" s="1"/>
  <c r="V132" i="4" s="1"/>
  <c r="V133" i="4" s="1"/>
  <c r="V153" i="4"/>
  <c r="V154" i="4" s="1"/>
  <c r="V156" i="4" s="1"/>
  <c r="V157" i="4" s="1"/>
  <c r="V177" i="4"/>
  <c r="V178" i="4" s="1"/>
  <c r="V105" i="4"/>
  <c r="V106" i="4" s="1"/>
  <c r="V108" i="4" s="1"/>
  <c r="V109" i="4" s="1"/>
  <c r="V81" i="4"/>
  <c r="V82" i="4" s="1"/>
  <c r="V84" i="4" s="1"/>
  <c r="V85" i="4" s="1"/>
  <c r="V54" i="4"/>
  <c r="V56" i="4" s="1"/>
  <c r="C129" i="4"/>
  <c r="C130" i="4" s="1"/>
  <c r="C132" i="4" s="1"/>
  <c r="C133" i="4" s="1"/>
  <c r="C54" i="4"/>
  <c r="C56" i="4" s="1"/>
  <c r="C105" i="4"/>
  <c r="C106" i="4" s="1"/>
  <c r="C108" i="4" s="1"/>
  <c r="C109" i="4" s="1"/>
  <c r="C153" i="4"/>
  <c r="C154" i="4" s="1"/>
  <c r="C156" i="4" s="1"/>
  <c r="C157" i="4" s="1"/>
  <c r="C81" i="4"/>
  <c r="C82" i="4" s="1"/>
  <c r="C84" i="4" s="1"/>
  <c r="C85" i="4" s="1"/>
  <c r="C177" i="4"/>
  <c r="C178" i="4" s="1"/>
  <c r="D60" i="4"/>
  <c r="D224" i="4" s="1"/>
  <c r="D57" i="4"/>
  <c r="D233" i="4"/>
  <c r="D235" i="4" s="1"/>
  <c r="D180" i="4"/>
  <c r="D181" i="4" s="1"/>
  <c r="D84" i="4"/>
  <c r="D85" i="4" s="1"/>
  <c r="W100" i="4"/>
  <c r="W120" i="4" s="1"/>
  <c r="W121" i="4" s="1"/>
  <c r="W101" i="4"/>
  <c r="W62" i="4"/>
  <c r="W58" i="4"/>
  <c r="C91" i="4"/>
  <c r="I187" i="4"/>
  <c r="I190" i="4"/>
  <c r="V139" i="4"/>
  <c r="V142" i="4"/>
  <c r="I139" i="4"/>
  <c r="I142" i="4"/>
  <c r="I163" i="4"/>
  <c r="I166" i="4"/>
  <c r="M115" i="4"/>
  <c r="M118" i="4"/>
  <c r="M139" i="4"/>
  <c r="M142" i="4"/>
  <c r="M187" i="4"/>
  <c r="M190" i="4"/>
  <c r="M163" i="4"/>
  <c r="M166" i="4"/>
  <c r="N139" i="4"/>
  <c r="N142" i="4"/>
  <c r="U54" i="4"/>
  <c r="U56" i="4" s="1"/>
  <c r="U81" i="4"/>
  <c r="U82" i="4" s="1"/>
  <c r="U105" i="4"/>
  <c r="U106" i="4" s="1"/>
  <c r="U129" i="4"/>
  <c r="U130" i="4" s="1"/>
  <c r="U153" i="4"/>
  <c r="U154" i="4" s="1"/>
  <c r="U177" i="4"/>
  <c r="U178" i="4" s="1"/>
  <c r="D39" i="7"/>
  <c r="K91" i="4"/>
  <c r="K94" i="4"/>
  <c r="K115" i="4"/>
  <c r="K118" i="4"/>
  <c r="K163" i="4"/>
  <c r="K166" i="4"/>
  <c r="K187" i="4"/>
  <c r="K190" i="4"/>
  <c r="K139" i="4"/>
  <c r="K142" i="4"/>
  <c r="U91" i="4"/>
  <c r="U94" i="4"/>
  <c r="U115" i="4"/>
  <c r="U118" i="4"/>
  <c r="U187" i="4"/>
  <c r="U190" i="4"/>
  <c r="U163" i="4"/>
  <c r="U166" i="4"/>
  <c r="U139" i="4"/>
  <c r="U142" i="4"/>
  <c r="V91" i="4"/>
  <c r="V94" i="4"/>
  <c r="V115" i="4"/>
  <c r="V118" i="4"/>
  <c r="V187" i="4"/>
  <c r="V190" i="4"/>
  <c r="V163" i="4"/>
  <c r="V166" i="4"/>
  <c r="H91" i="4"/>
  <c r="H94" i="4"/>
  <c r="H115" i="4"/>
  <c r="H118" i="4"/>
  <c r="H187" i="4"/>
  <c r="H190" i="4"/>
  <c r="H163" i="4"/>
  <c r="H166" i="4"/>
  <c r="H139" i="4"/>
  <c r="H142" i="4"/>
  <c r="I91" i="4"/>
  <c r="I94" i="4"/>
  <c r="I115" i="4"/>
  <c r="I118" i="4"/>
  <c r="J91" i="4"/>
  <c r="J94" i="4"/>
  <c r="J115" i="4"/>
  <c r="J118" i="4"/>
  <c r="J187" i="4"/>
  <c r="J190" i="4"/>
  <c r="J163" i="4"/>
  <c r="J166" i="4"/>
  <c r="J139" i="4"/>
  <c r="J142" i="4"/>
  <c r="T91" i="4"/>
  <c r="T94" i="4"/>
  <c r="T115" i="4"/>
  <c r="T118" i="4"/>
  <c r="T163" i="4"/>
  <c r="T166" i="4"/>
  <c r="T187" i="4"/>
  <c r="T190" i="4"/>
  <c r="T139" i="4"/>
  <c r="T142" i="4"/>
  <c r="L91" i="4"/>
  <c r="L94" i="4"/>
  <c r="L115" i="4"/>
  <c r="L118" i="4"/>
  <c r="L187" i="4"/>
  <c r="L190" i="4"/>
  <c r="L139" i="4"/>
  <c r="L142" i="4"/>
  <c r="L163" i="4"/>
  <c r="L166" i="4"/>
  <c r="M91" i="4"/>
  <c r="M94" i="4"/>
  <c r="N91" i="4"/>
  <c r="N94" i="4"/>
  <c r="N115" i="4"/>
  <c r="N118" i="4"/>
  <c r="N187" i="4"/>
  <c r="N190" i="4"/>
  <c r="N163" i="4"/>
  <c r="N166" i="4"/>
  <c r="O91" i="4"/>
  <c r="O94" i="4"/>
  <c r="O115" i="4"/>
  <c r="O118" i="4"/>
  <c r="O187" i="4"/>
  <c r="O190" i="4"/>
  <c r="O163" i="4"/>
  <c r="O166" i="4"/>
  <c r="O139" i="4"/>
  <c r="O142" i="4"/>
  <c r="P91" i="4"/>
  <c r="P94" i="4"/>
  <c r="P115" i="4"/>
  <c r="P118" i="4"/>
  <c r="P187" i="4"/>
  <c r="P190" i="4"/>
  <c r="P163" i="4"/>
  <c r="P166" i="4"/>
  <c r="P139" i="4"/>
  <c r="P142" i="4"/>
  <c r="Q91" i="4"/>
  <c r="Q94" i="4"/>
  <c r="Q115" i="4"/>
  <c r="Q118" i="4"/>
  <c r="Q163" i="4"/>
  <c r="Q166" i="4"/>
  <c r="Q187" i="4"/>
  <c r="Q190" i="4"/>
  <c r="Q139" i="4"/>
  <c r="Q142" i="4"/>
  <c r="R91" i="4"/>
  <c r="R94" i="4"/>
  <c r="R115" i="4"/>
  <c r="R118" i="4"/>
  <c r="R187" i="4"/>
  <c r="R190" i="4"/>
  <c r="R139" i="4"/>
  <c r="R142" i="4"/>
  <c r="R163" i="4"/>
  <c r="R166" i="4"/>
  <c r="S91" i="4"/>
  <c r="S94" i="4"/>
  <c r="S115" i="4"/>
  <c r="S118" i="4"/>
  <c r="S187" i="4"/>
  <c r="S190" i="4"/>
  <c r="S139" i="4"/>
  <c r="S142" i="4"/>
  <c r="S163" i="4"/>
  <c r="S166" i="4"/>
  <c r="D51" i="7" l="1"/>
  <c r="C142" i="4"/>
  <c r="W237" i="4"/>
  <c r="D236" i="4"/>
  <c r="B236" i="4"/>
  <c r="B237" i="4" s="1"/>
  <c r="B213" i="4"/>
  <c r="B44" i="7" s="1"/>
  <c r="B43" i="7"/>
  <c r="D205" i="4"/>
  <c r="B205" i="4"/>
  <c r="B100" i="4"/>
  <c r="B120" i="4" s="1"/>
  <c r="B121" i="4" s="1"/>
  <c r="B101" i="4"/>
  <c r="C118" i="4"/>
  <c r="C51" i="7"/>
  <c r="C190" i="4"/>
  <c r="F51" i="7"/>
  <c r="E51" i="7"/>
  <c r="C166" i="4"/>
  <c r="J60" i="4"/>
  <c r="J224" i="4" s="1"/>
  <c r="J57" i="4"/>
  <c r="K233" i="4"/>
  <c r="K235" i="4" s="1"/>
  <c r="K180" i="4"/>
  <c r="K181" i="4" s="1"/>
  <c r="K236" i="4" s="1"/>
  <c r="K237" i="4" s="1"/>
  <c r="W210" i="4"/>
  <c r="W207" i="4"/>
  <c r="H60" i="4"/>
  <c r="H224" i="4" s="1"/>
  <c r="H57" i="4"/>
  <c r="I233" i="4"/>
  <c r="I235" i="4" s="1"/>
  <c r="I180" i="4"/>
  <c r="I181" i="4" s="1"/>
  <c r="I236" i="4" s="1"/>
  <c r="I237" i="4" s="1"/>
  <c r="I60" i="4"/>
  <c r="I224" i="4" s="1"/>
  <c r="I57" i="4"/>
  <c r="J180" i="4"/>
  <c r="J181" i="4" s="1"/>
  <c r="J233" i="4"/>
  <c r="J235" i="4" s="1"/>
  <c r="L97" i="4"/>
  <c r="B58" i="4"/>
  <c r="B62" i="4"/>
  <c r="B32" i="6"/>
  <c r="B33" i="6" s="1"/>
  <c r="H180" i="4"/>
  <c r="H181" i="4" s="1"/>
  <c r="H233" i="4"/>
  <c r="H235" i="4" s="1"/>
  <c r="K97" i="4"/>
  <c r="V97" i="4"/>
  <c r="S97" i="4"/>
  <c r="T97" i="4"/>
  <c r="M97" i="4"/>
  <c r="N97" i="4"/>
  <c r="O97" i="4"/>
  <c r="P97" i="4"/>
  <c r="W124" i="4"/>
  <c r="W144" i="4" s="1"/>
  <c r="W145" i="4" s="1"/>
  <c r="W125" i="4"/>
  <c r="H97" i="4"/>
  <c r="I97" i="4"/>
  <c r="J97" i="4"/>
  <c r="Q97" i="4"/>
  <c r="R97" i="4"/>
  <c r="K60" i="4"/>
  <c r="K224" i="4" s="1"/>
  <c r="K57" i="4"/>
  <c r="L233" i="4"/>
  <c r="L235" i="4" s="1"/>
  <c r="L180" i="4"/>
  <c r="L181" i="4" s="1"/>
  <c r="L236" i="4" s="1"/>
  <c r="L237" i="4" s="1"/>
  <c r="L60" i="4"/>
  <c r="L224" i="4" s="1"/>
  <c r="L57" i="4"/>
  <c r="M180" i="4"/>
  <c r="M181" i="4" s="1"/>
  <c r="M233" i="4"/>
  <c r="M235" i="4" s="1"/>
  <c r="M60" i="4"/>
  <c r="M224" i="4" s="1"/>
  <c r="M57" i="4"/>
  <c r="N180" i="4"/>
  <c r="N181" i="4" s="1"/>
  <c r="N233" i="4"/>
  <c r="N235" i="4" s="1"/>
  <c r="N60" i="4"/>
  <c r="N224" i="4" s="1"/>
  <c r="N57" i="4"/>
  <c r="O180" i="4"/>
  <c r="O181" i="4" s="1"/>
  <c r="O233" i="4"/>
  <c r="O235" i="4" s="1"/>
  <c r="O60" i="4"/>
  <c r="O224" i="4" s="1"/>
  <c r="O57" i="4"/>
  <c r="P180" i="4"/>
  <c r="P181" i="4" s="1"/>
  <c r="P233" i="4"/>
  <c r="P235" i="4" s="1"/>
  <c r="P60" i="4"/>
  <c r="P224" i="4" s="1"/>
  <c r="P57" i="4"/>
  <c r="Q180" i="4"/>
  <c r="Q181" i="4" s="1"/>
  <c r="Q233" i="4"/>
  <c r="Q235" i="4" s="1"/>
  <c r="Q60" i="4"/>
  <c r="Q224" i="4" s="1"/>
  <c r="Q57" i="4"/>
  <c r="R180" i="4"/>
  <c r="R181" i="4" s="1"/>
  <c r="R233" i="4"/>
  <c r="R235" i="4" s="1"/>
  <c r="R60" i="4"/>
  <c r="R224" i="4" s="1"/>
  <c r="R57" i="4"/>
  <c r="S180" i="4"/>
  <c r="S181" i="4" s="1"/>
  <c r="S233" i="4"/>
  <c r="S235" i="4" s="1"/>
  <c r="S60" i="4"/>
  <c r="S224" i="4" s="1"/>
  <c r="S57" i="4"/>
  <c r="T233" i="4"/>
  <c r="T235" i="4" s="1"/>
  <c r="T180" i="4"/>
  <c r="T181" i="4" s="1"/>
  <c r="T60" i="4"/>
  <c r="T224" i="4" s="1"/>
  <c r="T57" i="4"/>
  <c r="V180" i="4"/>
  <c r="V181" i="4" s="1"/>
  <c r="V233" i="4"/>
  <c r="V235" i="4" s="1"/>
  <c r="V60" i="4"/>
  <c r="V224" i="4" s="1"/>
  <c r="V57" i="4"/>
  <c r="C60" i="4"/>
  <c r="C224" i="4" s="1"/>
  <c r="C57" i="4"/>
  <c r="C233" i="4"/>
  <c r="C235" i="4" s="1"/>
  <c r="C180" i="4"/>
  <c r="C181" i="4" s="1"/>
  <c r="D58" i="4"/>
  <c r="D62" i="4"/>
  <c r="D32" i="6"/>
  <c r="D33" i="6" s="1"/>
  <c r="D100" i="4"/>
  <c r="D120" i="4" s="1"/>
  <c r="D121" i="4" s="1"/>
  <c r="D101" i="4"/>
  <c r="W59" i="4"/>
  <c r="W219" i="4"/>
  <c r="B50" i="7"/>
  <c r="C97" i="4"/>
  <c r="C94" i="4"/>
  <c r="B51" i="7"/>
  <c r="M205" i="4"/>
  <c r="S205" i="4"/>
  <c r="U60" i="4"/>
  <c r="U224" i="4" s="1"/>
  <c r="U57" i="4"/>
  <c r="U97" i="4"/>
  <c r="U84" i="4"/>
  <c r="U85" i="4" s="1"/>
  <c r="U108" i="4"/>
  <c r="U109" i="4" s="1"/>
  <c r="U132" i="4"/>
  <c r="U133" i="4" s="1"/>
  <c r="U156" i="4"/>
  <c r="U157" i="4" s="1"/>
  <c r="U180" i="4"/>
  <c r="U181" i="4" s="1"/>
  <c r="U233" i="4"/>
  <c r="U235" i="4" s="1"/>
  <c r="D213" i="4"/>
  <c r="D44" i="7" s="1"/>
  <c r="D43" i="7"/>
  <c r="C39" i="7"/>
  <c r="N205" i="4"/>
  <c r="O205" i="4"/>
  <c r="K205" i="4"/>
  <c r="U205" i="4"/>
  <c r="V205" i="4"/>
  <c r="H205" i="4"/>
  <c r="I205" i="4"/>
  <c r="J205" i="4"/>
  <c r="T205" i="4"/>
  <c r="L205" i="4"/>
  <c r="P205" i="4"/>
  <c r="Q205" i="4"/>
  <c r="R205" i="4"/>
  <c r="T236" i="4" l="1"/>
  <c r="T237" i="4" s="1"/>
  <c r="C236" i="4"/>
  <c r="C237" i="4" s="1"/>
  <c r="H236" i="4"/>
  <c r="H237" i="4" s="1"/>
  <c r="O236" i="4"/>
  <c r="O237" i="4" s="1"/>
  <c r="S236" i="4"/>
  <c r="S237" i="4" s="1"/>
  <c r="W220" i="4"/>
  <c r="W221" i="4" s="1"/>
  <c r="W251" i="4" s="1"/>
  <c r="W225" i="4"/>
  <c r="W226" i="4" s="1"/>
  <c r="W255" i="4" s="1"/>
  <c r="W238" i="4"/>
  <c r="W239" i="4" s="1"/>
  <c r="W252" i="4" s="1"/>
  <c r="D237" i="4"/>
  <c r="M236" i="4"/>
  <c r="N236" i="4"/>
  <c r="P236" i="4"/>
  <c r="Q236" i="4"/>
  <c r="R236" i="4"/>
  <c r="R237" i="4" s="1"/>
  <c r="V236" i="4"/>
  <c r="V237" i="4" s="1"/>
  <c r="U236" i="4"/>
  <c r="J236" i="4"/>
  <c r="D38" i="7"/>
  <c r="D207" i="4"/>
  <c r="D210" i="4"/>
  <c r="D42" i="7" s="1"/>
  <c r="B38" i="7"/>
  <c r="B207" i="4"/>
  <c r="B210" i="4"/>
  <c r="B42" i="7" s="1"/>
  <c r="C205" i="4"/>
  <c r="J58" i="4"/>
  <c r="J62" i="4"/>
  <c r="L100" i="4"/>
  <c r="L120" i="4" s="1"/>
  <c r="L121" i="4" s="1"/>
  <c r="L101" i="4"/>
  <c r="Q58" i="4"/>
  <c r="Q62" i="4"/>
  <c r="W208" i="4"/>
  <c r="H62" i="4"/>
  <c r="H58" i="4"/>
  <c r="I62" i="4"/>
  <c r="I58" i="4"/>
  <c r="B59" i="4"/>
  <c r="B219" i="4"/>
  <c r="P100" i="4"/>
  <c r="P120" i="4" s="1"/>
  <c r="P121" i="4" s="1"/>
  <c r="P101" i="4"/>
  <c r="H100" i="4"/>
  <c r="H120" i="4" s="1"/>
  <c r="H121" i="4" s="1"/>
  <c r="H101" i="4"/>
  <c r="I100" i="4"/>
  <c r="I120" i="4" s="1"/>
  <c r="I121" i="4" s="1"/>
  <c r="I101" i="4"/>
  <c r="K100" i="4"/>
  <c r="K120" i="4" s="1"/>
  <c r="K121" i="4" s="1"/>
  <c r="K101" i="4"/>
  <c r="V100" i="4"/>
  <c r="V120" i="4" s="1"/>
  <c r="V121" i="4" s="1"/>
  <c r="V101" i="4"/>
  <c r="S100" i="4"/>
  <c r="S120" i="4" s="1"/>
  <c r="S121" i="4" s="1"/>
  <c r="S101" i="4"/>
  <c r="T100" i="4"/>
  <c r="T120" i="4" s="1"/>
  <c r="T121" i="4" s="1"/>
  <c r="T101" i="4"/>
  <c r="M100" i="4"/>
  <c r="M120" i="4" s="1"/>
  <c r="M121" i="4" s="1"/>
  <c r="M101" i="4"/>
  <c r="N100" i="4"/>
  <c r="N120" i="4" s="1"/>
  <c r="N121" i="4" s="1"/>
  <c r="N101" i="4"/>
  <c r="O101" i="4"/>
  <c r="O100" i="4"/>
  <c r="O120" i="4" s="1"/>
  <c r="O121" i="4" s="1"/>
  <c r="J100" i="4"/>
  <c r="J120" i="4" s="1"/>
  <c r="J121" i="4" s="1"/>
  <c r="J101" i="4"/>
  <c r="Q100" i="4"/>
  <c r="Q120" i="4" s="1"/>
  <c r="Q121" i="4" s="1"/>
  <c r="Q101" i="4"/>
  <c r="R101" i="4"/>
  <c r="R100" i="4"/>
  <c r="R120" i="4" s="1"/>
  <c r="R121" i="4" s="1"/>
  <c r="K58" i="4"/>
  <c r="K62" i="4"/>
  <c r="L58" i="4"/>
  <c r="L62" i="4"/>
  <c r="M58" i="4"/>
  <c r="M62" i="4"/>
  <c r="N58" i="4"/>
  <c r="N62" i="4"/>
  <c r="O58" i="4"/>
  <c r="O62" i="4"/>
  <c r="P58" i="4"/>
  <c r="P62" i="4"/>
  <c r="R58" i="4"/>
  <c r="R62" i="4"/>
  <c r="S58" i="4"/>
  <c r="S62" i="4"/>
  <c r="T58" i="4"/>
  <c r="T62" i="4"/>
  <c r="V58" i="4"/>
  <c r="V62" i="4"/>
  <c r="C58" i="4"/>
  <c r="C62" i="4"/>
  <c r="C32" i="6"/>
  <c r="C33" i="6" s="1"/>
  <c r="D59" i="4"/>
  <c r="D219" i="4"/>
  <c r="W149" i="4"/>
  <c r="W148" i="4"/>
  <c r="C100" i="4"/>
  <c r="C101" i="4"/>
  <c r="B59" i="1"/>
  <c r="M207" i="4"/>
  <c r="M225" i="4" s="1"/>
  <c r="M210" i="4"/>
  <c r="S207" i="4"/>
  <c r="S210" i="4"/>
  <c r="U58" i="4"/>
  <c r="U62" i="4"/>
  <c r="U100" i="4"/>
  <c r="U101" i="4"/>
  <c r="C213" i="4"/>
  <c r="C44" i="7" s="1"/>
  <c r="C43" i="7"/>
  <c r="N210" i="4"/>
  <c r="N207" i="4"/>
  <c r="N225" i="4" s="1"/>
  <c r="O210" i="4"/>
  <c r="O207" i="4"/>
  <c r="K207" i="4"/>
  <c r="K210" i="4"/>
  <c r="U210" i="4"/>
  <c r="U207" i="4"/>
  <c r="U225" i="4" s="1"/>
  <c r="V210" i="4"/>
  <c r="V207" i="4"/>
  <c r="H210" i="4"/>
  <c r="H207" i="4"/>
  <c r="I210" i="4"/>
  <c r="I207" i="4"/>
  <c r="J210" i="4"/>
  <c r="J207" i="4"/>
  <c r="J225" i="4" s="1"/>
  <c r="T210" i="4"/>
  <c r="T207" i="4"/>
  <c r="L210" i="4"/>
  <c r="L207" i="4"/>
  <c r="P210" i="4"/>
  <c r="P207" i="4"/>
  <c r="P225" i="4" s="1"/>
  <c r="Q210" i="4"/>
  <c r="Q207" i="4"/>
  <c r="Q225" i="4" s="1"/>
  <c r="R210" i="4"/>
  <c r="R207" i="4"/>
  <c r="B125" i="4"/>
  <c r="B124" i="4"/>
  <c r="D125" i="4"/>
  <c r="D124" i="4"/>
  <c r="B220" i="4" l="1"/>
  <c r="B221" i="4" s="1"/>
  <c r="S225" i="4"/>
  <c r="S226" i="4" s="1"/>
  <c r="S255" i="4" s="1"/>
  <c r="S238" i="4"/>
  <c r="S239" i="4" s="1"/>
  <c r="S252" i="4" s="1"/>
  <c r="D220" i="4"/>
  <c r="D221" i="4" s="1"/>
  <c r="U237" i="4"/>
  <c r="U238" i="4"/>
  <c r="U239" i="4" s="1"/>
  <c r="U252" i="4" s="1"/>
  <c r="D225" i="4"/>
  <c r="D226" i="4" s="1"/>
  <c r="D238" i="4"/>
  <c r="D239" i="4" s="1"/>
  <c r="M237" i="4"/>
  <c r="M238" i="4"/>
  <c r="M239" i="4" s="1"/>
  <c r="M252" i="4" s="1"/>
  <c r="N237" i="4"/>
  <c r="N238" i="4"/>
  <c r="N239" i="4" s="1"/>
  <c r="N252" i="4" s="1"/>
  <c r="P237" i="4"/>
  <c r="P238" i="4"/>
  <c r="P239" i="4" s="1"/>
  <c r="P252" i="4" s="1"/>
  <c r="Q237" i="4"/>
  <c r="Q238" i="4"/>
  <c r="Q239" i="4" s="1"/>
  <c r="Q252" i="4" s="1"/>
  <c r="J237" i="4"/>
  <c r="J238" i="4"/>
  <c r="J239" i="4" s="1"/>
  <c r="J252" i="4" s="1"/>
  <c r="B225" i="4"/>
  <c r="B226" i="4" s="1"/>
  <c r="B238" i="4"/>
  <c r="B239" i="4" s="1"/>
  <c r="O225" i="4"/>
  <c r="O226" i="4" s="1"/>
  <c r="O255" i="4" s="1"/>
  <c r="O238" i="4"/>
  <c r="O239" i="4" s="1"/>
  <c r="O252" i="4" s="1"/>
  <c r="K225" i="4"/>
  <c r="K226" i="4" s="1"/>
  <c r="K255" i="4" s="1"/>
  <c r="K238" i="4"/>
  <c r="K239" i="4" s="1"/>
  <c r="K252" i="4" s="1"/>
  <c r="V238" i="4"/>
  <c r="V239" i="4" s="1"/>
  <c r="V252" i="4" s="1"/>
  <c r="V225" i="4"/>
  <c r="V226" i="4" s="1"/>
  <c r="V255" i="4" s="1"/>
  <c r="H225" i="4"/>
  <c r="H226" i="4" s="1"/>
  <c r="H255" i="4" s="1"/>
  <c r="H238" i="4"/>
  <c r="H239" i="4" s="1"/>
  <c r="H252" i="4" s="1"/>
  <c r="I238" i="4"/>
  <c r="I239" i="4" s="1"/>
  <c r="I252" i="4" s="1"/>
  <c r="I225" i="4"/>
  <c r="I226" i="4" s="1"/>
  <c r="I255" i="4" s="1"/>
  <c r="T238" i="4"/>
  <c r="T239" i="4" s="1"/>
  <c r="T252" i="4" s="1"/>
  <c r="T225" i="4"/>
  <c r="T226" i="4" s="1"/>
  <c r="T255" i="4" s="1"/>
  <c r="L238" i="4"/>
  <c r="L239" i="4" s="1"/>
  <c r="L252" i="4" s="1"/>
  <c r="L225" i="4"/>
  <c r="L226" i="4" s="1"/>
  <c r="L255" i="4" s="1"/>
  <c r="R238" i="4"/>
  <c r="R239" i="4" s="1"/>
  <c r="R252" i="4" s="1"/>
  <c r="R225" i="4"/>
  <c r="R226" i="4" s="1"/>
  <c r="R255" i="4" s="1"/>
  <c r="D208" i="4"/>
  <c r="D41" i="7" s="1"/>
  <c r="D40" i="7"/>
  <c r="D48" i="6"/>
  <c r="C38" i="7"/>
  <c r="C207" i="4"/>
  <c r="C238" i="4" s="1"/>
  <c r="C210" i="4"/>
  <c r="C42" i="7" s="1"/>
  <c r="B208" i="4"/>
  <c r="B41" i="7" s="1"/>
  <c r="B48" i="6"/>
  <c r="B40" i="7"/>
  <c r="J59" i="4"/>
  <c r="J219" i="4"/>
  <c r="J220" i="4" s="1"/>
  <c r="J221" i="4" s="1"/>
  <c r="J251" i="4" s="1"/>
  <c r="Q59" i="4"/>
  <c r="Q219" i="4"/>
  <c r="Q220" i="4" s="1"/>
  <c r="Q221" i="4" s="1"/>
  <c r="Q251" i="4" s="1"/>
  <c r="S59" i="4"/>
  <c r="S219" i="4"/>
  <c r="S220" i="4" s="1"/>
  <c r="S221" i="4" s="1"/>
  <c r="S251" i="4" s="1"/>
  <c r="T59" i="4"/>
  <c r="T219" i="4"/>
  <c r="T220" i="4" s="1"/>
  <c r="T221" i="4" s="1"/>
  <c r="T251" i="4" s="1"/>
  <c r="V59" i="4"/>
  <c r="V219" i="4"/>
  <c r="V220" i="4" s="1"/>
  <c r="V221" i="4" s="1"/>
  <c r="V251" i="4" s="1"/>
  <c r="B9" i="6"/>
  <c r="B19" i="6"/>
  <c r="C59" i="4"/>
  <c r="C219" i="4"/>
  <c r="H219" i="4"/>
  <c r="H220" i="4" s="1"/>
  <c r="H221" i="4" s="1"/>
  <c r="H251" i="4" s="1"/>
  <c r="H59" i="4"/>
  <c r="I59" i="4"/>
  <c r="I219" i="4"/>
  <c r="I220" i="4" s="1"/>
  <c r="I221" i="4" s="1"/>
  <c r="I251" i="4" s="1"/>
  <c r="K59" i="4"/>
  <c r="K219" i="4"/>
  <c r="K220" i="4" s="1"/>
  <c r="K221" i="4" s="1"/>
  <c r="K251" i="4" s="1"/>
  <c r="L59" i="4"/>
  <c r="L219" i="4"/>
  <c r="L220" i="4" s="1"/>
  <c r="L221" i="4" s="1"/>
  <c r="L251" i="4" s="1"/>
  <c r="M59" i="4"/>
  <c r="M219" i="4"/>
  <c r="M220" i="4" s="1"/>
  <c r="M221" i="4" s="1"/>
  <c r="M251" i="4" s="1"/>
  <c r="N59" i="4"/>
  <c r="N219" i="4"/>
  <c r="N220" i="4" s="1"/>
  <c r="N221" i="4" s="1"/>
  <c r="N251" i="4" s="1"/>
  <c r="O59" i="4"/>
  <c r="O219" i="4"/>
  <c r="O220" i="4" s="1"/>
  <c r="O221" i="4" s="1"/>
  <c r="O251" i="4" s="1"/>
  <c r="P59" i="4"/>
  <c r="P219" i="4"/>
  <c r="P220" i="4" s="1"/>
  <c r="P221" i="4" s="1"/>
  <c r="P251" i="4" s="1"/>
  <c r="R59" i="4"/>
  <c r="R219" i="4"/>
  <c r="R220" i="4" s="1"/>
  <c r="R221" i="4" s="1"/>
  <c r="R251" i="4" s="1"/>
  <c r="B60" i="1"/>
  <c r="C120" i="4"/>
  <c r="C121" i="4" s="1"/>
  <c r="W168" i="4"/>
  <c r="W169" i="4" s="1"/>
  <c r="M226" i="4"/>
  <c r="M255" i="4" s="1"/>
  <c r="M208" i="4"/>
  <c r="S208" i="4"/>
  <c r="U59" i="4"/>
  <c r="U219" i="4"/>
  <c r="U220" i="4" s="1"/>
  <c r="U221" i="4" s="1"/>
  <c r="U251" i="4" s="1"/>
  <c r="U120" i="4"/>
  <c r="U121" i="4" s="1"/>
  <c r="N226" i="4"/>
  <c r="N255" i="4" s="1"/>
  <c r="N208" i="4"/>
  <c r="O208" i="4"/>
  <c r="K208" i="4"/>
  <c r="U226" i="4"/>
  <c r="U255" i="4" s="1"/>
  <c r="U208" i="4"/>
  <c r="V208" i="4"/>
  <c r="H208" i="4"/>
  <c r="I208" i="4"/>
  <c r="J226" i="4"/>
  <c r="J255" i="4" s="1"/>
  <c r="J208" i="4"/>
  <c r="T208" i="4"/>
  <c r="L208" i="4"/>
  <c r="P226" i="4"/>
  <c r="P255" i="4" s="1"/>
  <c r="P208" i="4"/>
  <c r="Q226" i="4"/>
  <c r="Q255" i="4" s="1"/>
  <c r="Q208" i="4"/>
  <c r="R208" i="4"/>
  <c r="B144" i="4"/>
  <c r="B145" i="4" s="1"/>
  <c r="D144" i="4"/>
  <c r="D145" i="4" s="1"/>
  <c r="H125" i="4"/>
  <c r="H124" i="4"/>
  <c r="I125" i="4"/>
  <c r="I124" i="4"/>
  <c r="J125" i="4"/>
  <c r="J124" i="4"/>
  <c r="K125" i="4"/>
  <c r="K124" i="4"/>
  <c r="L125" i="4"/>
  <c r="L124" i="4"/>
  <c r="M125" i="4"/>
  <c r="M124" i="4"/>
  <c r="N125" i="4"/>
  <c r="N124" i="4"/>
  <c r="O125" i="4"/>
  <c r="O124" i="4"/>
  <c r="P125" i="4"/>
  <c r="P124" i="4"/>
  <c r="Q125" i="4"/>
  <c r="Q124" i="4"/>
  <c r="R125" i="4"/>
  <c r="R124" i="4"/>
  <c r="S125" i="4"/>
  <c r="S124" i="4"/>
  <c r="T125" i="4"/>
  <c r="T124" i="4"/>
  <c r="V125" i="4"/>
  <c r="V124" i="4"/>
  <c r="C220" i="4" l="1"/>
  <c r="C221" i="4" s="1"/>
  <c r="D12" i="1"/>
  <c r="D252" i="4"/>
  <c r="D6" i="5"/>
  <c r="C6" i="5"/>
  <c r="B8" i="5"/>
  <c r="D8" i="5"/>
  <c r="F7" i="5"/>
  <c r="B10" i="5"/>
  <c r="D9" i="5"/>
  <c r="C7" i="5"/>
  <c r="E9" i="5"/>
  <c r="B7" i="5"/>
  <c r="B6" i="5"/>
  <c r="C225" i="4"/>
  <c r="C226" i="4" s="1"/>
  <c r="B23" i="6"/>
  <c r="F8" i="5"/>
  <c r="C10" i="5"/>
  <c r="D10" i="5"/>
  <c r="E10" i="5"/>
  <c r="F10" i="5"/>
  <c r="F9" i="5"/>
  <c r="C9" i="5"/>
  <c r="B9" i="5"/>
  <c r="C8" i="5"/>
  <c r="E8" i="5"/>
  <c r="E7" i="5"/>
  <c r="D7" i="5"/>
  <c r="F6" i="5"/>
  <c r="E6" i="5"/>
  <c r="D15" i="1"/>
  <c r="D255" i="4"/>
  <c r="D11" i="1"/>
  <c r="D251" i="4"/>
  <c r="B21" i="6"/>
  <c r="B27" i="6" s="1"/>
  <c r="C27" i="6" s="1"/>
  <c r="C239" i="4"/>
  <c r="B20" i="6"/>
  <c r="C208" i="4"/>
  <c r="B15" i="5"/>
  <c r="C48" i="6"/>
  <c r="C15" i="5"/>
  <c r="D15" i="5"/>
  <c r="E15" i="5"/>
  <c r="F15" i="5"/>
  <c r="B16" i="5"/>
  <c r="C16" i="5"/>
  <c r="D16" i="5"/>
  <c r="E16" i="5"/>
  <c r="F16" i="5"/>
  <c r="B17" i="5"/>
  <c r="C17" i="5"/>
  <c r="D17" i="5"/>
  <c r="E17" i="5"/>
  <c r="F17" i="5"/>
  <c r="B18" i="5"/>
  <c r="C18" i="5"/>
  <c r="D18" i="5"/>
  <c r="E18" i="5"/>
  <c r="F18" i="5"/>
  <c r="B19" i="5"/>
  <c r="C19" i="5"/>
  <c r="D19" i="5"/>
  <c r="E19" i="5"/>
  <c r="F19" i="5"/>
  <c r="C40" i="7"/>
  <c r="B251" i="4"/>
  <c r="B11" i="1"/>
  <c r="B252" i="4"/>
  <c r="B12" i="1"/>
  <c r="B15" i="1"/>
  <c r="B255" i="4"/>
  <c r="B22" i="6"/>
  <c r="C124" i="4"/>
  <c r="C59" i="1"/>
  <c r="C125" i="4"/>
  <c r="W173" i="4"/>
  <c r="W172" i="4"/>
  <c r="H144" i="4"/>
  <c r="H145" i="4" s="1"/>
  <c r="I144" i="4"/>
  <c r="I145" i="4" s="1"/>
  <c r="J144" i="4"/>
  <c r="J145" i="4" s="1"/>
  <c r="K144" i="4"/>
  <c r="K145" i="4" s="1"/>
  <c r="L144" i="4"/>
  <c r="L145" i="4" s="1"/>
  <c r="M144" i="4"/>
  <c r="M145" i="4" s="1"/>
  <c r="N144" i="4"/>
  <c r="N145" i="4" s="1"/>
  <c r="O144" i="4"/>
  <c r="O145" i="4" s="1"/>
  <c r="P144" i="4"/>
  <c r="P145" i="4" s="1"/>
  <c r="Q144" i="4"/>
  <c r="Q145" i="4" s="1"/>
  <c r="R144" i="4"/>
  <c r="R145" i="4" s="1"/>
  <c r="S144" i="4"/>
  <c r="S145" i="4" s="1"/>
  <c r="T144" i="4"/>
  <c r="T145" i="4" s="1"/>
  <c r="V144" i="4"/>
  <c r="V145" i="4" s="1"/>
  <c r="U125" i="4"/>
  <c r="U124" i="4"/>
  <c r="B149" i="4"/>
  <c r="B148" i="4"/>
  <c r="D149" i="4"/>
  <c r="D148" i="4"/>
  <c r="C54" i="5" l="1"/>
  <c r="C53" i="5"/>
  <c r="C41" i="7"/>
  <c r="B48" i="1"/>
  <c r="B51" i="1"/>
  <c r="B24" i="6"/>
  <c r="C12" i="1"/>
  <c r="C190" i="1" s="1"/>
  <c r="C252" i="4"/>
  <c r="C15" i="1"/>
  <c r="F190" i="1" s="1"/>
  <c r="C255" i="4"/>
  <c r="C251" i="4"/>
  <c r="C50" i="5"/>
  <c r="C11" i="1"/>
  <c r="B190" i="1" s="1"/>
  <c r="C60" i="1"/>
  <c r="C144" i="4"/>
  <c r="C145" i="4" s="1"/>
  <c r="W192" i="4"/>
  <c r="W193" i="4" s="1"/>
  <c r="U144" i="4"/>
  <c r="U145" i="4" s="1"/>
  <c r="B168" i="4"/>
  <c r="B169" i="4" s="1"/>
  <c r="D168" i="4"/>
  <c r="D169" i="4" s="1"/>
  <c r="H149" i="4"/>
  <c r="H148" i="4"/>
  <c r="I149" i="4"/>
  <c r="I148" i="4"/>
  <c r="J149" i="4"/>
  <c r="J148" i="4"/>
  <c r="K149" i="4"/>
  <c r="K148" i="4"/>
  <c r="L149" i="4"/>
  <c r="L148" i="4"/>
  <c r="M149" i="4"/>
  <c r="M148" i="4"/>
  <c r="N149" i="4"/>
  <c r="N148" i="4"/>
  <c r="O149" i="4"/>
  <c r="O148" i="4"/>
  <c r="P149" i="4"/>
  <c r="P148" i="4"/>
  <c r="Q149" i="4"/>
  <c r="Q148" i="4"/>
  <c r="R149" i="4"/>
  <c r="R148" i="4"/>
  <c r="S149" i="4"/>
  <c r="S148" i="4"/>
  <c r="T149" i="4"/>
  <c r="T148" i="4"/>
  <c r="V149" i="4"/>
  <c r="V148" i="4"/>
  <c r="B52" i="1" l="1"/>
  <c r="B25" i="6"/>
  <c r="D59" i="1"/>
  <c r="C149" i="4"/>
  <c r="C148" i="4"/>
  <c r="W197" i="4"/>
  <c r="W196" i="4"/>
  <c r="H168" i="4"/>
  <c r="H169" i="4" s="1"/>
  <c r="I168" i="4"/>
  <c r="I169" i="4" s="1"/>
  <c r="J168" i="4"/>
  <c r="J169" i="4" s="1"/>
  <c r="K168" i="4"/>
  <c r="K169" i="4" s="1"/>
  <c r="L168" i="4"/>
  <c r="L169" i="4" s="1"/>
  <c r="M168" i="4"/>
  <c r="M169" i="4" s="1"/>
  <c r="N168" i="4"/>
  <c r="N169" i="4" s="1"/>
  <c r="O168" i="4"/>
  <c r="O169" i="4" s="1"/>
  <c r="P168" i="4"/>
  <c r="P169" i="4" s="1"/>
  <c r="Q168" i="4"/>
  <c r="Q169" i="4" s="1"/>
  <c r="R168" i="4"/>
  <c r="R169" i="4" s="1"/>
  <c r="S168" i="4"/>
  <c r="S169" i="4" s="1"/>
  <c r="T168" i="4"/>
  <c r="T169" i="4" s="1"/>
  <c r="V168" i="4"/>
  <c r="V169" i="4" s="1"/>
  <c r="U149" i="4"/>
  <c r="U148" i="4"/>
  <c r="B173" i="4"/>
  <c r="B172" i="4"/>
  <c r="D173" i="4"/>
  <c r="D172" i="4"/>
  <c r="D60" i="1" l="1"/>
  <c r="C168" i="4"/>
  <c r="C169" i="4" s="1"/>
  <c r="W200" i="4"/>
  <c r="W199" i="4"/>
  <c r="W243" i="4"/>
  <c r="I173" i="4"/>
  <c r="I172" i="4"/>
  <c r="J173" i="4"/>
  <c r="J172" i="4"/>
  <c r="J192" i="4" s="1"/>
  <c r="J193" i="4" s="1"/>
  <c r="K173" i="4"/>
  <c r="K172" i="4"/>
  <c r="K192" i="4" s="1"/>
  <c r="K193" i="4" s="1"/>
  <c r="P173" i="4"/>
  <c r="P172" i="4"/>
  <c r="P192" i="4" s="1"/>
  <c r="P193" i="4" s="1"/>
  <c r="S173" i="4"/>
  <c r="S172" i="4"/>
  <c r="S192" i="4" s="1"/>
  <c r="S193" i="4" s="1"/>
  <c r="O173" i="4"/>
  <c r="O172" i="4"/>
  <c r="O192" i="4" s="1"/>
  <c r="O193" i="4" s="1"/>
  <c r="R173" i="4"/>
  <c r="R172" i="4"/>
  <c r="R192" i="4" s="1"/>
  <c r="R193" i="4" s="1"/>
  <c r="U168" i="4"/>
  <c r="U169" i="4" s="1"/>
  <c r="B192" i="4"/>
  <c r="B193" i="4" s="1"/>
  <c r="D192" i="4"/>
  <c r="D193" i="4" s="1"/>
  <c r="H173" i="4"/>
  <c r="H172" i="4"/>
  <c r="L173" i="4"/>
  <c r="L172" i="4"/>
  <c r="M173" i="4"/>
  <c r="M172" i="4"/>
  <c r="N173" i="4"/>
  <c r="N172" i="4"/>
  <c r="Q173" i="4"/>
  <c r="Q172" i="4"/>
  <c r="T173" i="4"/>
  <c r="T172" i="4"/>
  <c r="V173" i="4"/>
  <c r="V172" i="4"/>
  <c r="E59" i="1" l="1"/>
  <c r="C173" i="4"/>
  <c r="C172" i="4"/>
  <c r="W244" i="4"/>
  <c r="W245" i="4" s="1"/>
  <c r="W246" i="4" s="1"/>
  <c r="W247" i="4" s="1"/>
  <c r="W248" i="4" s="1"/>
  <c r="W253" i="4" s="1"/>
  <c r="B197" i="4"/>
  <c r="B196" i="4"/>
  <c r="I192" i="4"/>
  <c r="I193" i="4" s="1"/>
  <c r="S197" i="4"/>
  <c r="S196" i="4"/>
  <c r="H192" i="4"/>
  <c r="H193" i="4" s="1"/>
  <c r="L192" i="4"/>
  <c r="L193" i="4" s="1"/>
  <c r="M192" i="4"/>
  <c r="M193" i="4" s="1"/>
  <c r="N192" i="4"/>
  <c r="N193" i="4" s="1"/>
  <c r="Q192" i="4"/>
  <c r="Q193" i="4" s="1"/>
  <c r="T192" i="4"/>
  <c r="T193" i="4" s="1"/>
  <c r="V192" i="4"/>
  <c r="V193" i="4" s="1"/>
  <c r="J197" i="4"/>
  <c r="J196" i="4"/>
  <c r="K197" i="4"/>
  <c r="K196" i="4"/>
  <c r="O197" i="4"/>
  <c r="O196" i="4"/>
  <c r="P197" i="4"/>
  <c r="P196" i="4"/>
  <c r="R197" i="4"/>
  <c r="R196" i="4"/>
  <c r="U173" i="4"/>
  <c r="U172" i="4"/>
  <c r="D197" i="4"/>
  <c r="D196" i="4"/>
  <c r="E60" i="1" l="1"/>
  <c r="C192" i="4"/>
  <c r="C193" i="4" s="1"/>
  <c r="C196" i="4" s="1"/>
  <c r="B243" i="4"/>
  <c r="B244" i="4" s="1"/>
  <c r="B245" i="4" s="1"/>
  <c r="B246" i="4" s="1"/>
  <c r="B247" i="4" s="1"/>
  <c r="B248" i="4" s="1"/>
  <c r="B200" i="4"/>
  <c r="B199" i="4"/>
  <c r="W256" i="4"/>
  <c r="W257" i="4"/>
  <c r="Q197" i="4"/>
  <c r="Q196" i="4"/>
  <c r="I197" i="4"/>
  <c r="I196" i="4"/>
  <c r="S200" i="4"/>
  <c r="S199" i="4"/>
  <c r="S243" i="4"/>
  <c r="S244" i="4" s="1"/>
  <c r="S245" i="4" s="1"/>
  <c r="S246" i="4" s="1"/>
  <c r="S247" i="4" s="1"/>
  <c r="S248" i="4" s="1"/>
  <c r="S253" i="4" s="1"/>
  <c r="H197" i="4"/>
  <c r="H196" i="4"/>
  <c r="J243" i="4"/>
  <c r="J200" i="4"/>
  <c r="J199" i="4"/>
  <c r="K243" i="4"/>
  <c r="K200" i="4"/>
  <c r="K199" i="4"/>
  <c r="O243" i="4"/>
  <c r="O199" i="4"/>
  <c r="O200" i="4"/>
  <c r="P243" i="4"/>
  <c r="P200" i="4"/>
  <c r="P199" i="4"/>
  <c r="R243" i="4"/>
  <c r="R200" i="4"/>
  <c r="R199" i="4"/>
  <c r="U192" i="4"/>
  <c r="U193" i="4" s="1"/>
  <c r="D199" i="4"/>
  <c r="D200" i="4"/>
  <c r="D243" i="4"/>
  <c r="L197" i="4"/>
  <c r="L196" i="4"/>
  <c r="M197" i="4"/>
  <c r="M196" i="4"/>
  <c r="N197" i="4"/>
  <c r="N196" i="4"/>
  <c r="T197" i="4"/>
  <c r="T196" i="4"/>
  <c r="V197" i="4"/>
  <c r="V196" i="4"/>
  <c r="C199" i="4" l="1"/>
  <c r="B49" i="1" s="1"/>
  <c r="C243" i="4"/>
  <c r="F60" i="1"/>
  <c r="C200" i="4"/>
  <c r="C197" i="4"/>
  <c r="F59" i="1"/>
  <c r="B13" i="1"/>
  <c r="B253" i="4"/>
  <c r="W258" i="4"/>
  <c r="C48" i="5"/>
  <c r="Q200" i="4"/>
  <c r="Q199" i="4"/>
  <c r="Q243" i="4"/>
  <c r="Q244" i="4" s="1"/>
  <c r="Q245" i="4" s="1"/>
  <c r="Q246" i="4" s="1"/>
  <c r="Q247" i="4" s="1"/>
  <c r="Q248" i="4" s="1"/>
  <c r="Q253" i="4" s="1"/>
  <c r="I199" i="4"/>
  <c r="I200" i="4"/>
  <c r="I243" i="4"/>
  <c r="I244" i="4" s="1"/>
  <c r="I245" i="4" s="1"/>
  <c r="I246" i="4" s="1"/>
  <c r="I247" i="4" s="1"/>
  <c r="I248" i="4" s="1"/>
  <c r="I253" i="4" s="1"/>
  <c r="H199" i="4"/>
  <c r="H243" i="4"/>
  <c r="H244" i="4" s="1"/>
  <c r="H245" i="4" s="1"/>
  <c r="H246" i="4" s="1"/>
  <c r="H247" i="4" s="1"/>
  <c r="H248" i="4" s="1"/>
  <c r="H253" i="4" s="1"/>
  <c r="H200" i="4"/>
  <c r="S256" i="4"/>
  <c r="S257" i="4"/>
  <c r="J244" i="4"/>
  <c r="J245" i="4" s="1"/>
  <c r="J246" i="4" s="1"/>
  <c r="J247" i="4" s="1"/>
  <c r="J248" i="4" s="1"/>
  <c r="J253" i="4" s="1"/>
  <c r="K244" i="4"/>
  <c r="K245" i="4" s="1"/>
  <c r="K246" i="4" s="1"/>
  <c r="K247" i="4" s="1"/>
  <c r="K248" i="4" s="1"/>
  <c r="K253" i="4" s="1"/>
  <c r="O244" i="4"/>
  <c r="O245" i="4" s="1"/>
  <c r="O246" i="4" s="1"/>
  <c r="O247" i="4" s="1"/>
  <c r="O248" i="4" s="1"/>
  <c r="O253" i="4" s="1"/>
  <c r="P244" i="4"/>
  <c r="P245" i="4" s="1"/>
  <c r="P246" i="4" s="1"/>
  <c r="P247" i="4" s="1"/>
  <c r="P248" i="4" s="1"/>
  <c r="P253" i="4" s="1"/>
  <c r="R244" i="4"/>
  <c r="R245" i="4" s="1"/>
  <c r="R246" i="4" s="1"/>
  <c r="R247" i="4" s="1"/>
  <c r="R248" i="4" s="1"/>
  <c r="R253" i="4" s="1"/>
  <c r="D244" i="4"/>
  <c r="D245" i="4" s="1"/>
  <c r="D246" i="4" s="1"/>
  <c r="D247" i="4" s="1"/>
  <c r="D248" i="4" s="1"/>
  <c r="L199" i="4"/>
  <c r="L200" i="4"/>
  <c r="L243" i="4"/>
  <c r="M199" i="4"/>
  <c r="M200" i="4"/>
  <c r="M243" i="4"/>
  <c r="N200" i="4"/>
  <c r="N199" i="4"/>
  <c r="N243" i="4"/>
  <c r="T200" i="4"/>
  <c r="T199" i="4"/>
  <c r="T243" i="4"/>
  <c r="V199" i="4"/>
  <c r="V200" i="4"/>
  <c r="V243" i="4"/>
  <c r="U197" i="4"/>
  <c r="U196" i="4"/>
  <c r="C244" i="4" l="1"/>
  <c r="C245" i="4" s="1"/>
  <c r="C246" i="4" s="1"/>
  <c r="C247" i="4" s="1"/>
  <c r="C248" i="4" s="1"/>
  <c r="B257" i="4"/>
  <c r="B256" i="4"/>
  <c r="Q257" i="4"/>
  <c r="Q256" i="4"/>
  <c r="I256" i="4"/>
  <c r="I257" i="4"/>
  <c r="C44" i="5"/>
  <c r="S258" i="4"/>
  <c r="J256" i="4"/>
  <c r="J257" i="4"/>
  <c r="K257" i="4"/>
  <c r="K256" i="4"/>
  <c r="O257" i="4"/>
  <c r="O256" i="4"/>
  <c r="P257" i="4"/>
  <c r="P256" i="4"/>
  <c r="R257" i="4"/>
  <c r="R256" i="4"/>
  <c r="D253" i="4"/>
  <c r="D13" i="1"/>
  <c r="H256" i="4"/>
  <c r="H257" i="4"/>
  <c r="L244" i="4"/>
  <c r="L245" i="4" s="1"/>
  <c r="L246" i="4" s="1"/>
  <c r="L247" i="4" s="1"/>
  <c r="L248" i="4" s="1"/>
  <c r="L253" i="4" s="1"/>
  <c r="M244" i="4"/>
  <c r="M245" i="4" s="1"/>
  <c r="M246" i="4" s="1"/>
  <c r="M247" i="4" s="1"/>
  <c r="M248" i="4" s="1"/>
  <c r="M253" i="4" s="1"/>
  <c r="N244" i="4"/>
  <c r="N245" i="4" s="1"/>
  <c r="N246" i="4" s="1"/>
  <c r="N247" i="4" s="1"/>
  <c r="N248" i="4" s="1"/>
  <c r="N253" i="4" s="1"/>
  <c r="T244" i="4"/>
  <c r="T245" i="4" s="1"/>
  <c r="T246" i="4" s="1"/>
  <c r="T247" i="4" s="1"/>
  <c r="T248" i="4" s="1"/>
  <c r="T253" i="4" s="1"/>
  <c r="V244" i="4"/>
  <c r="V245" i="4" s="1"/>
  <c r="V246" i="4" s="1"/>
  <c r="V247" i="4" s="1"/>
  <c r="V248" i="4" s="1"/>
  <c r="V253" i="4" s="1"/>
  <c r="U200" i="4"/>
  <c r="U199" i="4"/>
  <c r="U243" i="4"/>
  <c r="B63" i="5" l="1"/>
  <c r="B62" i="5"/>
  <c r="B61" i="5"/>
  <c r="B60" i="5"/>
  <c r="B59" i="5"/>
  <c r="B58" i="5"/>
  <c r="B261" i="4"/>
  <c r="B18" i="1" s="1"/>
  <c r="C49" i="5"/>
  <c r="C52" i="5"/>
  <c r="C253" i="4"/>
  <c r="C51" i="5"/>
  <c r="C13" i="1"/>
  <c r="D190" i="1" s="1"/>
  <c r="C42" i="5"/>
  <c r="Q258" i="4"/>
  <c r="B16" i="1"/>
  <c r="B17" i="1" s="1"/>
  <c r="B258" i="4"/>
  <c r="C34" i="5"/>
  <c r="I258" i="4"/>
  <c r="C35" i="5"/>
  <c r="J258" i="4"/>
  <c r="C36" i="5"/>
  <c r="K258" i="4"/>
  <c r="C40" i="5"/>
  <c r="O258" i="4"/>
  <c r="C41" i="5"/>
  <c r="P258" i="4"/>
  <c r="C43" i="5"/>
  <c r="R258" i="4"/>
  <c r="D257" i="4"/>
  <c r="D256" i="4"/>
  <c r="C33" i="5"/>
  <c r="H258" i="4"/>
  <c r="L256" i="4"/>
  <c r="L257" i="4"/>
  <c r="M257" i="4"/>
  <c r="M256" i="4"/>
  <c r="N257" i="4"/>
  <c r="N256" i="4"/>
  <c r="T257" i="4"/>
  <c r="T256" i="4"/>
  <c r="V256" i="4"/>
  <c r="V257" i="4"/>
  <c r="U244" i="4"/>
  <c r="U245" i="4" s="1"/>
  <c r="U246" i="4" s="1"/>
  <c r="U247" i="4" s="1"/>
  <c r="U248" i="4" s="1"/>
  <c r="U253" i="4" s="1"/>
  <c r="B64" i="5" l="1"/>
  <c r="D63" i="5"/>
  <c r="D62" i="5"/>
  <c r="D61" i="5"/>
  <c r="D60" i="5"/>
  <c r="D59" i="5"/>
  <c r="D58" i="5"/>
  <c r="B266" i="4"/>
  <c r="B23" i="1" s="1"/>
  <c r="D261" i="4"/>
  <c r="D18" i="1" s="1"/>
  <c r="C256" i="4"/>
  <c r="C257" i="4"/>
  <c r="B24" i="1" s="1"/>
  <c r="D16" i="1"/>
  <c r="D17" i="1" s="1"/>
  <c r="D258" i="4"/>
  <c r="C37" i="5"/>
  <c r="L258" i="4"/>
  <c r="C38" i="5"/>
  <c r="M258" i="4"/>
  <c r="C39" i="5"/>
  <c r="N258" i="4"/>
  <c r="C45" i="5"/>
  <c r="T258" i="4"/>
  <c r="C47" i="5"/>
  <c r="V258" i="4"/>
  <c r="U256" i="4"/>
  <c r="U257" i="4"/>
  <c r="D64" i="5" l="1"/>
  <c r="B21" i="1"/>
  <c r="C63" i="5"/>
  <c r="C62" i="5"/>
  <c r="C61" i="5"/>
  <c r="C60" i="5"/>
  <c r="C59" i="5"/>
  <c r="C58" i="5"/>
  <c r="B267" i="4"/>
  <c r="C261" i="4"/>
  <c r="B265" i="4" s="1"/>
  <c r="D42" i="5"/>
  <c r="D51" i="5"/>
  <c r="E51" i="5"/>
  <c r="E49" i="5"/>
  <c r="E33" i="5"/>
  <c r="D12" i="6"/>
  <c r="D33" i="5"/>
  <c r="D10" i="6"/>
  <c r="H259" i="4"/>
  <c r="B8" i="1" s="1"/>
  <c r="D5" i="6"/>
  <c r="E53" i="5"/>
  <c r="D53" i="5"/>
  <c r="E54" i="5"/>
  <c r="E48" i="5"/>
  <c r="D48" i="5"/>
  <c r="C16" i="1"/>
  <c r="E44" i="5"/>
  <c r="C258" i="4"/>
  <c r="E50" i="5"/>
  <c r="D50" i="5"/>
  <c r="D49" i="5"/>
  <c r="E34" i="5"/>
  <c r="D34" i="5"/>
  <c r="D35" i="5"/>
  <c r="E35" i="5"/>
  <c r="E41" i="5"/>
  <c r="E43" i="5"/>
  <c r="D36" i="5"/>
  <c r="E36" i="5"/>
  <c r="D40" i="5"/>
  <c r="E40" i="5"/>
  <c r="D41" i="5"/>
  <c r="D43" i="5"/>
  <c r="D44" i="5"/>
  <c r="D54" i="5"/>
  <c r="E42" i="5"/>
  <c r="D52" i="5"/>
  <c r="E52" i="5"/>
  <c r="D37" i="5"/>
  <c r="E37" i="5"/>
  <c r="D38" i="5"/>
  <c r="E38" i="5"/>
  <c r="D39" i="5"/>
  <c r="E39" i="5"/>
  <c r="D45" i="5"/>
  <c r="E45" i="5"/>
  <c r="D47" i="5"/>
  <c r="E47" i="5"/>
  <c r="C46" i="5"/>
  <c r="U258" i="4"/>
  <c r="C64" i="5" l="1"/>
  <c r="E6" i="1"/>
  <c r="B22" i="1"/>
  <c r="C18" i="1"/>
  <c r="D6" i="6"/>
  <c r="D7" i="6"/>
  <c r="C17" i="1"/>
  <c r="C6" i="1"/>
  <c r="G190" i="1"/>
  <c r="D46" i="5"/>
  <c r="E46" i="5"/>
  <c r="D11" i="6" l="1"/>
  <c r="D9" i="6"/>
  <c r="D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Fairline Research</author>
  </authors>
  <commentList>
    <comment ref="B126" authorId="0" shapeId="0" xr:uid="{61E7AF45-E9C9-4BC0-B0E9-8D67883C6DB5}">
      <text>
        <r>
          <rPr>
            <b/>
            <sz val="9"/>
            <color indexed="81"/>
            <rFont val="Tahoma"/>
            <charset val="1"/>
          </rPr>
          <t>Fairline Research:</t>
        </r>
        <r>
          <rPr>
            <sz val="9"/>
            <color indexed="81"/>
            <rFont val="Tahoma"/>
            <charset val="1"/>
          </rPr>
          <t xml:space="preserve">
Source: Mộc Châu Milk (mcmilk.com.vn), bài tag Mộc Châu Milk, https://www.mcmilk.com.vn/tag/moc-chau-milk/</t>
        </r>
      </text>
    </comment>
    <comment ref="B127" authorId="0" shapeId="0" xr:uid="{A3CB11F7-789E-4B95-B399-F53A7A6298A5}">
      <text>
        <r>
          <rPr>
            <b/>
            <sz val="9"/>
            <color indexed="81"/>
            <rFont val="Tahoma"/>
            <charset val="1"/>
          </rPr>
          <t>Fairline Research:</t>
        </r>
        <r>
          <rPr>
            <sz val="9"/>
            <color indexed="81"/>
            <rFont val="Tahoma"/>
            <charset val="1"/>
          </rPr>
          <t xml:space="preserve">
Source: Báo Sơn La, 'Thương hiệu sữa Mộc Châu', https://baosonla.vn/kinh-te/thuong-hieu-sua-moc-chau-FtpNNaDSg.html</t>
        </r>
      </text>
    </comment>
    <comment ref="B128" authorId="0" shapeId="0" xr:uid="{CB7084E7-36EA-4CF9-A2DE-ADDDE2E37A65}">
      <text>
        <r>
          <rPr>
            <b/>
            <sz val="9"/>
            <color indexed="81"/>
            <rFont val="Tahoma"/>
            <charset val="1"/>
          </rPr>
          <t>Fairline Research:</t>
        </r>
        <r>
          <rPr>
            <sz val="9"/>
            <color indexed="81"/>
            <rFont val="Tahoma"/>
            <charset val="1"/>
          </rPr>
          <t xml:space="preserve">
Source: Thương hiệu &amp; Công luận, 'Doanh nghiệp sữa chuẩn bị chi 110 tỷ đồng trả cổ tức', https://thuonghieucongluan.com.vn/doanh-nghiep-sua-chuan-bi-chi-110-ty-dong-tra-co-tuc-a319314.html</t>
        </r>
      </text>
    </comment>
    <comment ref="B129" authorId="0" shapeId="0" xr:uid="{ED8B5B49-7B46-49C0-A8D7-5AAE2AF2E59B}">
      <text>
        <r>
          <rPr>
            <b/>
            <sz val="9"/>
            <color indexed="81"/>
            <rFont val="Tahoma"/>
            <charset val="1"/>
          </rPr>
          <t>Fairline Research:</t>
        </r>
        <r>
          <rPr>
            <sz val="9"/>
            <color indexed="81"/>
            <rFont val="Tahoma"/>
            <charset val="1"/>
          </rPr>
          <t xml:space="preserve">
Source: VnExpress, 'Chung kết hội thi Hoa hậu Bò sữa Mộc Châu 2026', https://vnexpress.net/chung-ket-hoi-thi-hoa-hau-bo-sua-moc-chau-2026-5002460.html</t>
        </r>
      </text>
    </comment>
    <comment ref="B130" authorId="0" shapeId="0" xr:uid="{543291A1-0AC9-47A6-8A65-4485CB2F5D16}">
      <text>
        <r>
          <rPr>
            <b/>
            <sz val="9"/>
            <color indexed="81"/>
            <rFont val="Tahoma"/>
            <charset val="1"/>
          </rPr>
          <t>Fairline Research:</t>
        </r>
        <r>
          <rPr>
            <sz val="9"/>
            <color indexed="81"/>
            <rFont val="Tahoma"/>
            <charset val="1"/>
          </rPr>
          <t xml:space="preserve">
Source: DNSE Senses, phỏng vấn TGĐ Mộc Châu Milk (2025), https://www.dnse.com.vn/senses/tin-tuc/moc-chau-milk-dang-tim-kiem-doi-tac-xuat-khau-sua-du-an-thien-duong-sua-moc-chau-se-hoat-dong-tu-quy-ii2026-35039536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<sst xmlns="http://schemas.openxmlformats.org/spreadsheetml/2006/main" count="1203" uniqueCount="947">
  <si>
    <t>Chữ xanh dương nền xanh lá = đầu vào · chữ đen = công thức · chữ xanh lá = lấy từ sheet khác · nền vàng = kết quả · nền cam = cảnh báo. Đơn vị tỷ đồng trừ khi ghi khác.</t>
  </si>
  <si>
    <t>CHỈ SỐ CHÍNH</t>
  </si>
  <si>
    <t>Giá thị trường (đồng)</t>
  </si>
  <si>
    <t>Biên an toàn</t>
  </si>
  <si>
    <t>Tự kiểm số học (công thức, tổng, khớp DB)</t>
  </si>
  <si>
    <t>1. KẾT QUẢ CHÍNH (đồng/cổ phiếu)</t>
  </si>
  <si>
    <t>Phương pháp</t>
  </si>
  <si>
    <t>Xấu</t>
  </si>
  <si>
    <t>Cơ sở</t>
  </si>
  <si>
    <t>Tốt</t>
  </si>
  <si>
    <t>Trọng số</t>
  </si>
  <si>
    <t>Ghi chú</t>
  </si>
  <si>
    <t>1. P/E lợi nhuận lõi + tiền + dự án</t>
  </si>
  <si>
    <t>2. DCF phần lõi + tiền + dự án</t>
  </si>
  <si>
    <t>3. Chiết khấu cổ tức (DDM)</t>
  </si>
  <si>
    <t>4. P/B theo ROE</t>
  </si>
  <si>
    <t>5. EV/EBITDA lõi + tiền + dự án</t>
  </si>
  <si>
    <t>So giá hiện tại</t>
  </si>
  <si>
    <t>Độ phân tán năm phương pháp (cơ sở, cao ÷ thấp)</t>
  </si>
  <si>
    <t>Trên 1,5x: đọc từng phương pháp, đừng chỉ đọc bình quân</t>
  </si>
  <si>
    <t>Cách tính</t>
  </si>
  <si>
    <t>Tiền ròng 30/06/2026 mỗi cổ phiếu (đồng)</t>
  </si>
  <si>
    <t>Giá trị ròng hai dự án, cơ sở (đồng/cp)</t>
  </si>
  <si>
    <t>Âm: phần còn phải chi sinh lời dưới lợi suất dự án — chi tiết 06, giá × chi phí ở 04 bảng 2</t>
  </si>
  <si>
    <t>Tiền ròng thấp nhất 2027–2031, cơ sở (tỷ)</t>
  </si>
  <si>
    <t>Cổ tức cơ sở và chi cả hai dự án. Âm = phải vay</t>
  </si>
  <si>
    <t>Lợi suất yêu cầu phần kinh doanh (r)</t>
  </si>
  <si>
    <t>Rf 4,6% + β 0,72 × ERP 9,2% (02 mục A)</t>
  </si>
  <si>
    <t>Lợi suất ngầm định ở giá hiện tại (phần kinh doanh)</t>
  </si>
  <si>
    <t>Lợi suất kỳ vọng cả cổ phiếu nếu mua ở giá hiện tại</t>
  </si>
  <si>
    <t>LNST Q3/2026 dự báo (tỷ) — mốc kiểm cuối tháng 10</t>
  </si>
  <si>
    <t>Ngoài dải ở 05 mục F thì xem lại B và chi phí bán hàng</t>
  </si>
  <si>
    <t>Khoản</t>
  </si>
  <si>
    <t>2027</t>
  </si>
  <si>
    <t>2028</t>
  </si>
  <si>
    <t>2029</t>
  </si>
  <si>
    <t>2030</t>
  </si>
  <si>
    <t>2031</t>
  </si>
  <si>
    <t>Chi dự án</t>
  </si>
  <si>
    <t>Cổ tức tiền mặt</t>
  </si>
  <si>
    <t>LNST (cả lãi tiền gửi/vay)</t>
  </si>
  <si>
    <t>TIỀN RÒNG CUỐI NĂM</t>
  </si>
  <si>
    <t>Bắt đầu từ 1.398,5 tỷ ngày 30/06/2026. Cổ tức cơ sở và lãi tiền gửi theo 02 mục C.</t>
  </si>
  <si>
    <t>3. Nhà máy: nội dung QĐ 2932/QĐ-UBND 19/11/2025; 18% mặt bằng còn vướng; tiền chi mới ~32 tỷ.</t>
  </si>
  <si>
    <t>4. Trang trại: 1.120 tỷ gồm những gì sau khi thu nhỏ du lịch; nguồn bò; 40,9 tỷ mua của Lao-Jagro.</t>
  </si>
  <si>
    <t>5. Doanh thu theo nhóm 6T/2026 không công bố: Creamery đóng góp bao nhiêu chưa đo được (ĐHĐCĐ: 5–6%).</t>
  </si>
  <si>
    <t>6. BCTC Q3/2026 (cuối tháng 10): nhập LNST vào 05 mục F; xem dở dang trang trại, tiền thuê đất.</t>
  </si>
  <si>
    <t>01_Số liệu gốc</t>
  </si>
  <si>
    <t>Dữ kiện: cổ phiếu, kết quả năm và quý, cân đối, doanh thu theo nhóm và bán cho Vinamilk, ROE, dự án</t>
  </si>
  <si>
    <t>02_Giả định</t>
  </si>
  <si>
    <t>Nhận định: lợi suất yêu cầu (β, ERP), động cơ lõi hiệu chỉnh trên 12 tháng, ba kịch bản, cổ tức</t>
  </si>
  <si>
    <t>03_Định giá</t>
  </si>
  <si>
    <t>04_Độ nhạy</t>
  </si>
  <si>
    <t>B × chi phí bán hàng, giá × chi phí mỗi lít trang trại, ROE × r, mười chín phép thử một biến</t>
  </si>
  <si>
    <t>05_Đối chiếu</t>
  </si>
  <si>
    <t>06_Dự án</t>
  </si>
  <si>
    <t>Hai dự án: giả định trang trại (bò sữa, du lịch), nhà máy; kết quả, hòa vốn, theo dõi quý, hỏi công ty</t>
  </si>
  <si>
    <t>Lợi nhuận lõi (EBIT lõi)</t>
  </si>
  <si>
    <t>Lãi gộp − chi phí bán hàng − chi phí quản lý: không gồm lãi tiền gửi</t>
  </si>
  <si>
    <t>V</t>
  </si>
  <si>
    <t>Doanh thu bán cho Vinamilk: sữa nguyên liệu bán thô + gia công</t>
  </si>
  <si>
    <t>B</t>
  </si>
  <si>
    <t>Phần còn lại: sữa thương hiệu Mộc Châu, thức ăn chăn nuôi, khác — gánh toàn bộ khuyến mãi</t>
  </si>
  <si>
    <t>Năm chuẩn hoá</t>
  </si>
  <si>
    <t>Một năm 'bình thường' ~2027 trước khi dự án có lãi — không phải dự phóng năm cụ thể</t>
  </si>
  <si>
    <t>Giá trị ròng dự án</t>
  </si>
  <si>
    <t>Lợi suất yêu cầu</t>
  </si>
  <si>
    <t>Rf + β × ERP (cách rút gọn của công ty chứng khoán); β đã bỏ phần tiền</t>
  </si>
  <si>
    <t>P/B hợp lý</t>
  </si>
  <si>
    <t>(ROE − g) ÷ (r − g): ROE thấp hơn r thì đáng giá dưới sổ sách</t>
  </si>
  <si>
    <t>DDM</t>
  </si>
  <si>
    <t>Chiết khấu cổ tức: giá trị = hiện giá cổ tức cổ đông thực nhận</t>
  </si>
  <si>
    <t>Dữ liệu biểu đồ (đừng xoá)</t>
  </si>
  <si>
    <t>P/E lõi</t>
  </si>
  <si>
    <t>DCF</t>
  </si>
  <si>
    <t>Cổ tức</t>
  </si>
  <si>
    <t>P/B-ROE</t>
  </si>
  <si>
    <t>EV/EBITDA</t>
  </si>
  <si>
    <t>Giá trị (cơ sở)</t>
  </si>
  <si>
    <t>Giá thị trường</t>
  </si>
  <si>
    <t>MCM — SỐ LIỆU GỐC</t>
  </si>
  <si>
    <t>Mọi số ở đây là DỮ KIỆN (báo cáo tài chính, thuyết minh, BCTN, giá). Nhận định nằm ở 02_Giả định. Nền xanh lá chữ xanh dương = số nhập tay; nền vàng = công thức. Đơn vị tỷ đồng trừ khi ghi khác. Số DB kéo ngày 12/10/2026. MCM không có công ty con: BCTC riêng là BCTC duy nhất. Bảng cân đối 30/06/2026 khớp BCTC bán niên soát xét (KPMG, 11/08/2026).</t>
  </si>
  <si>
    <t>A. CỔ PHIẾU VÀ GIÁ</t>
  </si>
  <si>
    <t>Chỉ tiêu</t>
  </si>
  <si>
    <t>Giá trị</t>
  </si>
  <si>
    <t>Đơn vị</t>
  </si>
  <si>
    <t>Nguồn / ghi chú</t>
  </si>
  <si>
    <t>Cổ phiếu đã phát hành</t>
  </si>
  <si>
    <t>triệu cổ phiếu</t>
  </si>
  <si>
    <t>Thuyết minh 21 BCTC 2025: 110.000.000; không đổi đến 30/06/2026</t>
  </si>
  <si>
    <t>Cổ phiếu quỹ</t>
  </si>
  <si>
    <t>BCTC 2025 TM 21: số đang lưu hành = số phát hành</t>
  </si>
  <si>
    <t>CỔ PHIẾU LƯU HÀNH</t>
  </si>
  <si>
    <t>Kiểm chéo: vốn góp trong DB (GEN_BS_097) 30/06/2026</t>
  </si>
  <si>
    <t>tỷ đồng</t>
  </si>
  <si>
    <t>gen_balance_sheet quý 2/2026</t>
  </si>
  <si>
    <t xml:space="preserve">   → số cổ phiếu suy từ vốn góp</t>
  </si>
  <si>
    <t>Giá cổ phiếu</t>
  </si>
  <si>
    <t>đồng</t>
  </si>
  <si>
    <t>daily_price, giá đóng cửa</t>
  </si>
  <si>
    <t>Ngày giá</t>
  </si>
  <si>
    <t>Cao nhất 52 tuần (giá điều chỉnh cổ tức)</t>
  </si>
  <si>
    <t>daily_price.adjusted_close</t>
  </si>
  <si>
    <t>Thấp nhất 52 tuần (giá điều chỉnh cổ tức)</t>
  </si>
  <si>
    <t>Giá trị giao dịch bình quân 30 phiên</t>
  </si>
  <si>
    <t>triệu đồng/phiên</t>
  </si>
  <si>
    <t>daily_price (giá × khối lượng). RẤT THẤP: Vinamilk và Tổng Công ty Chăn nuôi nắm 68,15%</t>
  </si>
  <si>
    <t>Vốn hoá thị trường</t>
  </si>
  <si>
    <t>giá × cổ phiếu lưu hành</t>
  </si>
  <si>
    <t>B. KẾT QUẢ KINH DOANH THEO NĂM (PostgreSQL, tỷ đồng)</t>
  </si>
  <si>
    <t>Khoản mục</t>
  </si>
  <si>
    <t>2021</t>
  </si>
  <si>
    <t>2022</t>
  </si>
  <si>
    <t>2023</t>
  </si>
  <si>
    <t>2024</t>
  </si>
  <si>
    <t>2025</t>
  </si>
  <si>
    <t>Mã khoản mục / ghi chú</t>
  </si>
  <si>
    <t>Doanh thu thuần</t>
  </si>
  <si>
    <t>GEN_IS_003</t>
  </si>
  <si>
    <t>Lãi gộp</t>
  </si>
  <si>
    <t>GEN_IS_021</t>
  </si>
  <si>
    <t>Chi phí bán hàng</t>
  </si>
  <si>
    <t>GEN_IS_011</t>
  </si>
  <si>
    <t>Chi phí quản lý doanh nghiệp</t>
  </si>
  <si>
    <t>GEN_IS_012</t>
  </si>
  <si>
    <t>LỢI NHUẬN LÕI (EBIT lõi) = lãi gộp − bán hàng − quản lý</t>
  </si>
  <si>
    <t>Không gồm lãi tiền gửi — phần đó cộng riêng bằng số dư tiền ở mọi phương pháp</t>
  </si>
  <si>
    <t>Doanh thu hoạt động tài chính (gần hết là lãi tiền gửi)</t>
  </si>
  <si>
    <t>GEN_IS_004</t>
  </si>
  <si>
    <t>Chi phí tài chính</t>
  </si>
  <si>
    <t>GEN_IS_014</t>
  </si>
  <si>
    <t xml:space="preserve">   trong đó: chi phí lãi vay</t>
  </si>
  <si>
    <t>GEN_IS_015</t>
  </si>
  <si>
    <t>Lợi nhuận khác (thu nhập khác − chi phí khác)</t>
  </si>
  <si>
    <t>GEN_IS_005−017</t>
  </si>
  <si>
    <t>Lợi nhuận trước thuế</t>
  </si>
  <si>
    <t>GEN_IS_027</t>
  </si>
  <si>
    <t>Thuế thu nhập doanh nghiệp</t>
  </si>
  <si>
    <t>GEN_IS_006+007</t>
  </si>
  <si>
    <t>LỢI NHUẬN SAU THUẾ</t>
  </si>
  <si>
    <t>GEN_IS_020</t>
  </si>
  <si>
    <t>Khấu hao tài sản cố định</t>
  </si>
  <si>
    <t>GEN_CF_001</t>
  </si>
  <si>
    <t>Lưu chuyển tiền thuần từ hoạt động kinh doanh</t>
  </si>
  <si>
    <t>GEN_CF_026</t>
  </si>
  <si>
    <t>Chi mua sắm, xây dựng tài sản cố định (âm = tiền ra)</t>
  </si>
  <si>
    <t>GEN_CF_027</t>
  </si>
  <si>
    <t>Cổ tức tiền mặt đã trả (âm = tiền ra)</t>
  </si>
  <si>
    <t>GEN_CF_040</t>
  </si>
  <si>
    <t>Kiểm: lõi + doanh thu tài chính − chi phí tài chính + khác − LNTT</t>
  </si>
  <si>
    <t>Thuế suất thực tế = thuế ÷ lợi nhuận trước thuế</t>
  </si>
  <si>
    <t>Thuế suất phổ thông 20%. Thu nhập chăn nuôi, chế biến nông sản ở địa bàn đặc biệt khó khăn được miễn (TM 34 BCTC 2025, Nghị định 320/2025): 2025 miễn 18,0 tỷ tiền thuế</t>
  </si>
  <si>
    <t>Doanh thu tài chính ÷ lợi nhuận trước thuế</t>
  </si>
  <si>
    <t>Lãi tiền gửi từ 27% (2021) lên 42% LNTT (2025): lợi nhuận lõi giảm, tiền gửi đứng yên</t>
  </si>
  <si>
    <t>C. THEO QUÝ (PostgreSQL, tỷ đồng) — cột H = 12 tháng tới Q2/2026 = năm 2025 kiểm toán − 6T/2025 + 6T/2026</t>
  </si>
  <si>
    <t>Q1/2025</t>
  </si>
  <si>
    <t>Q2/2025</t>
  </si>
  <si>
    <t>Q3/2025</t>
  </si>
  <si>
    <t>Q4/2025</t>
  </si>
  <si>
    <t>Q1/2026</t>
  </si>
  <si>
    <t>Q2/2026</t>
  </si>
  <si>
    <t>12 tháng</t>
  </si>
  <si>
    <t>Từ 2026 áp dụng Thông tư 99: bán bò chuyển từ thu nhập khác sang doanh thu; số cùng kỳ 2025 trong BCTC 2026 đã trình bày lại (lệch DB ~1 tỷ/quý, không đổi LNTT)</t>
  </si>
  <si>
    <t>Q3 thường là quý chi khuyến mãi nặng nhất (Q3/2025: 182 tỷ, LNST chỉ 28 tỷ)</t>
  </si>
  <si>
    <t>LỢI NHUẬN LÕI (EBIT lõi)</t>
  </si>
  <si>
    <t>Doanh thu hoạt động tài chính</t>
  </si>
  <si>
    <t>Chi phí lãi vay</t>
  </si>
  <si>
    <t>D. BẢNG CÂN ĐỐI VÀ THUYẾT MINH (tỷ đồng)</t>
  </si>
  <si>
    <t>31/12/2025</t>
  </si>
  <si>
    <t>30/06/2026</t>
  </si>
  <si>
    <t>Tiền và tương đương tiền</t>
  </si>
  <si>
    <t>GEN_BS_002</t>
  </si>
  <si>
    <t>Tiền gửi có kỳ hạn ngắn hạn (đầu tư giữ đến ngày đáo hạn)</t>
  </si>
  <si>
    <t>GEN_BS_005 — số 31/12/2025 là số ĐÃ PHÂN LOẠI LẠI theo Thông tư 99 (BCTC Q2/2026): gồm 54,1 tỷ lãi dự thu; BCTC 2025 gốc ghi 1.431,0</t>
  </si>
  <si>
    <t>Tiền gửi có kỳ hạn dài hạn</t>
  </si>
  <si>
    <t>GEN_BS_057 — TM 5 BCTC 2025: lãi suất 4,75%–8,2%/năm, không thấy cầm cố</t>
  </si>
  <si>
    <t>Vay ngắn hạn</t>
  </si>
  <si>
    <t>Vietcombank, VietinBank 4–6 tháng, không tài sản đảm bảo; trả hết 6T/2026</t>
  </si>
  <si>
    <t>Vay dài hạn</t>
  </si>
  <si>
    <t>GEN_BS_089</t>
  </si>
  <si>
    <t>TIỀN + TIỀN GỬI</t>
  </si>
  <si>
    <t>Gồm lãi dự thu (Thông tư 99). Khoản tiền còn lại của đợt phát hành 2021 dành cho hai dự án: 685,0 tỷ cuối 2025 (mục G)</t>
  </si>
  <si>
    <t>Tổng nợ vay</t>
  </si>
  <si>
    <t>TIỀN RÒNG = tiền + tiền gửi − nợ vay</t>
  </si>
  <si>
    <t>Dùng 30/06/2026 ở mọi phương pháp. Cổ tức đợt 1/2026 (1.000đ/cp, thường chi tháng 11) chưa trừ — nằm trong lợi nhuận năm 2026</t>
  </si>
  <si>
    <t>VỐN CHỦ SỞ HỮU</t>
  </si>
  <si>
    <t>GEN_BS_095 — không có cổ đông thiểu số</t>
  </si>
  <si>
    <t>Xây dựng dở dang: tổ hợp trang trại bò sữa 4.000 con</t>
  </si>
  <si>
    <t>TM 15 BCTC bán niên soát xét 2026 (tổng 459,3 khớp bảng cân đối); cột 31/12/2025 = TM 12 BCTC 2025</t>
  </si>
  <si>
    <t>Xây dựng dở dang: nhà máy sữa công nghệ cao</t>
  </si>
  <si>
    <t>Xây dựng dở dang: máy móc, công trình khác</t>
  </si>
  <si>
    <t>Tổng xây dựng dở dang</t>
  </si>
  <si>
    <t>Kiểm chéo: xây dựng dở dang trong DB (GEN_BS_051)</t>
  </si>
  <si>
    <t>VỐN HOẠT ĐỘNG LÕI = vốn chủ − tiền ròng − xây dựng dở dang</t>
  </si>
  <si>
    <t>Phần vốn thực sự làm ra lợi nhuận lõi — chỉ ~460 tỷ vì nhà máy cũ đã khấu hao gần hết (610,7 tỷ nguyên giá khấu hao hết vẫn dùng, TM 10 BCTC 2025)</t>
  </si>
  <si>
    <t>GIÁ TRỊ SỔ SÁCH MỖI CỔ PHIẾU 30/06/2026 (đồng)</t>
  </si>
  <si>
    <t>E. DOANH THU THEO NHÓM VÀ BÁN CHO VINAMILK (BCTN, thuyết minh bên liên quan — DB không có)</t>
  </si>
  <si>
    <t>6T/2025</t>
  </si>
  <si>
    <t>6T/2026</t>
  </si>
  <si>
    <t>Sữa thành phẩm (thương hiệu Mộc Châu)</t>
  </si>
  <si>
    <t>Sữa nguyên liệu (bán thô)</t>
  </si>
  <si>
    <t>Thức ăn chăn nuôi và TMR</t>
  </si>
  <si>
    <t>Gia công (sữa thanh trùng hộp giấy cho Vinamilk)</t>
  </si>
  <si>
    <t>Nhóm khác</t>
  </si>
  <si>
    <t>Cộng theo nhóm (kiểm với doanh thu thuần)</t>
  </si>
  <si>
    <t>BCTN 2025 tr.68; BCTN 2024 tr.59. Công ty không công bố số 6 tháng theo nhóm</t>
  </si>
  <si>
    <t>Doanh thu thuần (mục B, C)</t>
  </si>
  <si>
    <t>V = Bán hàng cho Vinamilk (công ty mẹ cấp cao nhất)</t>
  </si>
  <si>
    <t>TM bên liên quan: 2025 bán hàng hóa 668,08 tỷ (TM 36 BCTC 2025); 2024 572,62 + dịch vụ 0,21; 6T/2026 = 327,44 theo TM 39 BCTC bán niên SOÁT XÉT (bản Q2 tự lập ghi 327,41). ≈ sữa nguyên liệu + gia công. Q1/2025 168,2; Q1/2026 183,7 (BCTC quý 1)</t>
  </si>
  <si>
    <t>B = Phần còn lại = doanh thu − V (thương hiệu + thức ăn chăn nuôi + khác)</t>
  </si>
  <si>
    <t>Gánh toàn bộ chi phí bán hàng (khuyến mãi, quảng cáo cho hàng thương hiệu)</t>
  </si>
  <si>
    <t>Tỷ trọng bán cho Vinamilk trong doanh thu</t>
  </si>
  <si>
    <t>B 6T/2026 so 6T/2025</t>
  </si>
  <si>
    <t>Sau hai năm giảm (sữa thành phẩm 2.273 → 1.722 tỷ), phần còn lại tăng lại từ Q1/2026</t>
  </si>
  <si>
    <t>F. LỊCH SỬ ROE 2018–2025 (ROE = LNST ÷ vốn chủ bình quân đầu và cuối năm)</t>
  </si>
  <si>
    <t>Năm</t>
  </si>
  <si>
    <t>Vốn chủ cuối năm</t>
  </si>
  <si>
    <t>LNST</t>
  </si>
  <si>
    <t>Vốn chủ bình quân</t>
  </si>
  <si>
    <t>ROE</t>
  </si>
  <si>
    <t>Năm Vinamilk vào điều hành (mua lại qua Tổng Công ty Chăn nuôi)</t>
  </si>
  <si>
    <t>Phát hành 43,2 triệu cổ phiếu thu 1.249,3 tỷ → vốn chủ gấp đôi, tiền gửi phình</t>
  </si>
  <si>
    <t>LNST −41%: giá thu mua sữa tăng 7–8%, sức mua yếu (KBSV)</t>
  </si>
  <si>
    <t>Đáy: sữa thành phẩm −9,3%</t>
  </si>
  <si>
    <t>ROE 12 tháng tới Q2/2026 (vốn chủ bình quân 30/06/2025 và 30/06/2026)</t>
  </si>
  <si>
    <t>ROE bình quân 2022–2025 (sau đợt phát hành, tiền gửi lớn)</t>
  </si>
  <si>
    <t>Trước 2021 vốn chủ chỉ ~770 tỷ nên ROE 20%+; sau đợt phát hành ~43% tài sản là tiền gửi lãi 5–8% → ROE bị kéo về ~10–16%</t>
  </si>
  <si>
    <t>ROE bình quân 2018–2025</t>
  </si>
  <si>
    <t>ROE trung vị 2018–2025</t>
  </si>
  <si>
    <t>G. HAI DỰ ÁN VÀ NGUỒN TIỀN — dữ kiện (giả định dự án nằm ở 06_Dự án)</t>
  </si>
  <si>
    <t>Tổ hợp trang trại sinh thái, bò sữa 4.000 con: tổng vốn công bố</t>
  </si>
  <si>
    <t>BCTN 2023 tr.88–89, BCTN 2024 tr.65, BCTN 2025 tr.73. Báo Sơn La 09/09/2025 vẫn ghi 1.000 tỷ — chưa giải thích được chênh</t>
  </si>
  <si>
    <t xml:space="preserve">   lúc khởi công 28/05/2022: phần trang trại bò sữa</t>
  </si>
  <si>
    <t>Báo Đầu Tư, VnBusiness 31/05/2022: hạng mục 1.000 tỷ/150 ha = trang trại 4.000 con 700 tỷ + khu du lịch, đồng cỏ 300 tỷ. Vinamilk Quảng Ngãi 4.000 con cũng 700 tỷ</t>
  </si>
  <si>
    <t xml:space="preserve">   lúc khởi công 28/05/2022: phần khu du lịch, cảnh quan đồng cỏ</t>
  </si>
  <si>
    <t>Như trên. ĐHĐCĐ 20/04/2026: chủ tịch nói đã cân nhắc bỏ khách sạn, giải trí để tập trung vốn sản xuất; xem xét Bảo tàng Sữa, cửa hàng flagship (biên bản tr.5)</t>
  </si>
  <si>
    <t xml:space="preserve">   sản lượng thiết kế</t>
  </si>
  <si>
    <t>triệu lít/năm</t>
  </si>
  <si>
    <t>Báo Đầu Tư 31/05/2022; KBSV 22/05/2026 (20 nghìn tấn). Trại 2.000 con hiện có = 11 triệu lít/năm (Giấy phép môi trường 151/GPMT-BTNMT) → 4.000 con ≈ 22</t>
  </si>
  <si>
    <t xml:space="preserve">   lịch vận hành (công bố)</t>
  </si>
  <si>
    <t>SX thử Q4/2026, chính thức Q2/2027</t>
  </si>
  <si>
    <t>Bản tin NĐT Q2/2026 bản cập nhật 30/07/2026 (BCTN 2025 và ĐHĐCĐ 20/04/2026 còn nói Q3/2026). Xây dựng 97%, đang lắp máy, nhập gian vắt sữa (Báo Sơn La 07/05/2026); ≥15 vị trí lệch quy hoạch</t>
  </si>
  <si>
    <t xml:space="preserve">   tài sản cố định mua của Lao-Jagro (Vinamilk sở hữu 92,07%) 6T/2026</t>
  </si>
  <si>
    <t>NQ 15/NQ-HĐQT 25/02/2026: Lao-Jagro BÁN TÀI SẢN CỐ ĐỊNH, 1.557.939 USD. Nguyên giá TSCĐ 6T chỉ +7,2 tỷ, tài sản sinh học không có dòng mua → nằm trong xây dựng dở dang trang trại (suy ra, chưa xác nhận)</t>
  </si>
  <si>
    <t>Nhà máy sữa công nghệ cao: tổng vốn hai giai đoạn</t>
  </si>
  <si>
    <t>Báo Chính phủ 30/05/2022, BCTN 2024. 26 ha. Giai đoạn 1 ~500 tấn/ngày, giai đoạn 2 lên 1.000 tấn/ngày</t>
  </si>
  <si>
    <t xml:space="preserve">   giai đoạn 1 (chủ trương cũ 2022–2025)</t>
  </si>
  <si>
    <t>Báo Sơn La 09/09/2025, Sơn La TV 17/07/2024. Công ty xin gia hạn tới Q4/2027 (09/2025); QĐ 2932/QĐ-UBND 19/11/2025 điều chỉnh chủ trương — CHƯA có toàn văn</t>
  </si>
  <si>
    <t xml:space="preserve">   giai đoạn 2 (chủ trương cũ 2029–2030)</t>
  </si>
  <si>
    <t>Báo Sơn La 09/09/2025</t>
  </si>
  <si>
    <t>Q4/2027</t>
  </si>
  <si>
    <t>Bản tin NĐT Q2/2026. Giải phóng mặt bằng 82% (hộ nhà kiên cố chưa chịu đền bù). Chủ tịch ĐHĐCĐ 20/04/2026: "2,3 năm tới vẫn đáp ứng", "công suất đạt 70% sẽ phải xây nhà máy mới"</t>
  </si>
  <si>
    <t xml:space="preserve">   tiền phát hành đã chi cho nhà máy đến 18/08/2026</t>
  </si>
  <si>
    <t>Báo cáo sử dụng vốn 80/BC/MCM-2026: 31,4 tỷ (18/02/2026) → 31,9 tỷ (18/08/2026) — gần như chưa xây</t>
  </si>
  <si>
    <t>Nhà máy hiện tại: công suất</t>
  </si>
  <si>
    <t>tấn/ngày</t>
  </si>
  <si>
    <t>BCTN 2024, 2025: hết đất mở rộng, nhà xưởng xuống cấp</t>
  </si>
  <si>
    <t>Tiền phát hành đã chi cho trang trại đến 18/08/2026</t>
  </si>
  <si>
    <t>Báo cáo sử dụng vốn 80/BC/MCM-2026 (323,3 tỷ ngày 18/02/2026)</t>
  </si>
  <si>
    <t>Tiền còn lại của đợt phát hành 2021 cho các dự án (18/08/2026)</t>
  </si>
  <si>
    <t>Báo cáo sử dụng vốn 80/BC/MCM-2026. Tổng mức đầu tư theo phương án 2020: 1.600 tỷ, thiếu bù bằng vốn tự có hoặc vay</t>
  </si>
  <si>
    <t>Thuế nhà đất và tiền thuê đất phát sinh 6T/2026</t>
  </si>
  <si>
    <t>TM 18 BCTC bán niên soát xét; cả năm 2025 chỉ 7,51 tỷ (TM 19 BCTC 2025) — có thể bắt đầu tính tiền thuê đất dự án (chưa xác nhận). Cam kết thuê hoạt động 744 tỷ (TM 24 BCTC 2025)</t>
  </si>
  <si>
    <t>Kế hoạch thu mua sữa nông hộ 2025</t>
  </si>
  <si>
    <t>nghìn tấn</t>
  </si>
  <si>
    <t>VOV 22/05/2025: giảm 1.300 tấn so 2024; 25.800 con, hơn 500 hộ; 4T/2025 mua 28,5 nghìn tấn; nguy cơ dư sữa vì hộ tự tăng đàn</t>
  </si>
  <si>
    <t>H. PHÂN PHỐI LỢI NHUẬN, KẾ HOẠCH, BỘI SỐ LỊCH SỬ</t>
  </si>
  <si>
    <t>Trích quỹ khen thưởng phúc lợi từ lợi nhuận 2025</t>
  </si>
  <si>
    <t>TM 18, 20 BCTC 2025 (2024: 21,99 tỷ) — đúng 10% LNST</t>
  </si>
  <si>
    <t>Cổ tức tiền mặt mỗi năm 2022–2025</t>
  </si>
  <si>
    <t>đồng/cổ phiếu</t>
  </si>
  <si>
    <t>1.000đ tạm ứng tháng 11 + 1.000đ tháng 5 năm sau = 220 tỷ/năm, cao hơn LNST sau quỹ 2025 (194 tỷ)</t>
  </si>
  <si>
    <t>Tỷ lệ cổ tức về Vinamilk + Tổng Công ty Chăn nuôi</t>
  </si>
  <si>
    <t>TM 21 BCTC 2025: 59,30% + 8,85%. Cổ đông khác 31,85%</t>
  </si>
  <si>
    <t>Chính sách cổ tức tiền mặt năm 2026</t>
  </si>
  <si>
    <t>tối thiểu 50% LNST</t>
  </si>
  <si>
    <t>Nghị quyết ĐHĐCĐ 20/04/2026 (vấn đề 9); HĐQT quyết tạm ứng. Năm 2025 đã chia 20% = 220 tỷ</t>
  </si>
  <si>
    <t>Kế hoạch 2026: doanh thu thuần</t>
  </si>
  <si>
    <t>ĐHĐCĐ 2026 (Bản tin NĐT Q2/2026); 6T đạt 48%</t>
  </si>
  <si>
    <t>Kế hoạch 2026: LNST</t>
  </si>
  <si>
    <t>6T/2026 đạt 69,9% (168,6 tỷ)</t>
  </si>
  <si>
    <t>Lãi tiền gửi 2025</t>
  </si>
  <si>
    <t>TM 27 BCTC 2025 (2024: 96,73)</t>
  </si>
  <si>
    <t>Tiền + tiền gửi đầu năm 2025</t>
  </si>
  <si>
    <t>BCTC 2025: 36,27 + 1.603,0</t>
  </si>
  <si>
    <t>Tiền + tiền gửi cuối năm 2025 (BCTC gốc, chưa gộp lãi dự thu)</t>
  </si>
  <si>
    <t>36,95 + 1.431,0 + 25,0</t>
  </si>
  <si>
    <t xml:space="preserve">   → lãi suất tiền gửi bình quân 2025</t>
  </si>
  <si>
    <t>P/E trung vị MCM từ khi lên HOSE (14/06/2024)</t>
  </si>
  <si>
    <t>lần</t>
  </si>
  <si>
    <t>daily_valuation (Vietcap), P/E 12 tháng trên LNST CẢ lãi tiền gửi; tứ phân vị 13,0–15,0</t>
  </si>
  <si>
    <t>P/B trung vị MCM từ 14/06/2024</t>
  </si>
  <si>
    <t>daily_valuation</t>
  </si>
  <si>
    <t>Ô nền xanh lá chữ xanh dương là NHẬN ĐỊNH — sửa là cả model chạy lại. Cột 'Mốc thực tế' lấy thẳng từ 01 để thấy giả định đặt ở đâu so với số thật. Giả định hai dự án nằm ở 06_Dự án.</t>
  </si>
  <si>
    <t>Tham số</t>
  </si>
  <si>
    <t>Căn cứ</t>
  </si>
  <si>
    <t>Lợi suất phi rủi ro (Rf)</t>
  </si>
  <si>
    <t>Phần bù rủi ro thị trường (ERP) — cách rút gọn của công ty chứng khoán</t>
  </si>
  <si>
    <t>β phần kinh doanh hiện tại (đã bỏ phần tiền)</t>
  </si>
  <si>
    <t>β hai dự án mới</t>
  </si>
  <si>
    <t>TỰ ĐẶT. Dự án làm chi phí cố định tăng (khấu hao trang trại ~40 tỷ + nhà máy ~37 tỷ/năm) và nghiêng hàng cao cấp (Creamery) — nhạy với chu kỳ hơn kinh doanh hiện tại. Rủi ro chậm, kẹt đất KHÔNG đưa vào đây (đã ở kịch bản xấu 06)</t>
  </si>
  <si>
    <t>LỢI SUẤT YÊU CẦU PHẦN KINH DOANH HIỆN TẠI (r) = Rf + β × ERP</t>
  </si>
  <si>
    <t>LỢI SUẤT YÊU CẦU HAI DỰ ÁN = Rf + β dự án × ERP</t>
  </si>
  <si>
    <t>Chiết khấu dòng tiền dự án ở 06/03</t>
  </si>
  <si>
    <t>Tăng trưởng dài hạn (g)</t>
  </si>
  <si>
    <t>Dùng cho P/B theo ROE, giá trị cuối kỳ DCF và cổ tức. Lạm phát 9T/2026 4,52% — phép thử g 4% không đặt sẵn</t>
  </si>
  <si>
    <t>Trích quỹ khen thưởng phúc lợi (% LNST)</t>
  </si>
  <si>
    <t>2024, 2025 đều đúng 10% (01 mục H). Tiền ra khỏi tay cổ đông trước cổ tức</t>
  </si>
  <si>
    <t>Thuế trên lãi tiền gửi</t>
  </si>
  <si>
    <t>Thuế suất phổ thông; phần miễn thuế chỉ áp cho thu nhập chăn nuôi, chế biến nông sản (TM 34 BCTC 2025)</t>
  </si>
  <si>
    <t>Lãi suất vay khi tiền âm (chỉ dùng ở phương pháp 3)</t>
  </si>
  <si>
    <t>Cổ tức tạm ứng đợt 1/2026 dự kiến (đồng/cp, khoảng tháng 11/2026)</t>
  </si>
  <si>
    <t>Lãi tiền gửi tham chiếu của nhà đầu tư (khoản lớn, thực nhận)</t>
  </si>
  <si>
    <t xml:space="preserve">   1. P/E lợi nhuận lõi + tiền + dự án</t>
  </si>
  <si>
    <t xml:space="preserve">   2. DCF phần lõi + tiền + dự án</t>
  </si>
  <si>
    <t xml:space="preserve">   3. Chiết khấu cổ tức (DDM)</t>
  </si>
  <si>
    <t xml:space="preserve">   4. P/B theo ROE</t>
  </si>
  <si>
    <t xml:space="preserve">   5. EV/EBITDA lõi + tiền + dự án</t>
  </si>
  <si>
    <t>Tổng trọng số (phải bằng 100%)</t>
  </si>
  <si>
    <t>B. ĐỘNG CƠ LỢI NHUẬN LÕI — hiệu chỉnh trên 12 tháng tới Q2/2026 (dùng chung PP 1, 2, 3, 5)</t>
  </si>
  <si>
    <t>Cách tính / căn cứ</t>
  </si>
  <si>
    <t>V 12 tháng = bán cho Vinamilk (2025 − 6T/2025 + 6T/2026)</t>
  </si>
  <si>
    <t>Thuyết minh bên liên quan, 01 mục E</t>
  </si>
  <si>
    <t>Doanh thu thuần 12 tháng</t>
  </si>
  <si>
    <t>B 12 tháng = doanh thu − V</t>
  </si>
  <si>
    <t>Thương hiệu + thức ăn chăn nuôi + khác</t>
  </si>
  <si>
    <t>Lãi gộp 12 tháng</t>
  </si>
  <si>
    <t>Chi phí bán hàng 12 tháng</t>
  </si>
  <si>
    <t>Chi phí quản lý 12 tháng</t>
  </si>
  <si>
    <t>EBIT lõi 12 tháng</t>
  </si>
  <si>
    <t xml:space="preserve">   Hồi quy lãi gộp 2023–2025 theo V và B (không hệ số chặn): biên của V</t>
  </si>
  <si>
    <t>Ra số ÂM — vô lý: hồi quy 3 điểm lẫn cả việc giá thu mua sữa tăng 7–8% năm 2024 (KBSV). Chỉ cho biết biên của V THẤP, không đo được bao nhiêu</t>
  </si>
  <si>
    <t xml:space="preserve">   Hồi quy như trên: biên của B</t>
  </si>
  <si>
    <t>BIÊN GỘP CỦA PHẦN BÁN CHO VINAMILK (mV) DÙNG TRONG MODEL</t>
  </si>
  <si>
    <t>Biên gộp của B 12 tháng = (lãi gộp − mV × V) ÷ B</t>
  </si>
  <si>
    <t>Chi phí bán hàng ÷ B, 12 tháng</t>
  </si>
  <si>
    <t xml:space="preserve">   Cùng cách tính các kỳ trước:</t>
  </si>
  <si>
    <t xml:space="preserve">      biên gộp của B</t>
  </si>
  <si>
    <t xml:space="preserve">      chi phí bán hàng ÷ B</t>
  </si>
  <si>
    <t>6T/2026 khuyến mãi giảm, biên gộp tăng — giải trình công ty: "thay đổi cơ cấu doanh thu"</t>
  </si>
  <si>
    <t>Lãi sau chi phí bán hàng trên 100 đồng doanh thu: B so với V</t>
  </si>
  <si>
    <t>Kiểm: mV × V + (biên B − CPBH/B) × B − quản lý = EBIT lõi 12 tháng</t>
  </si>
  <si>
    <t>Chi phí quản lý năm chuẩn hoá (tỷ)</t>
  </si>
  <si>
    <t>12 tháng 37,7 tỷ; 2025 38,1 tỷ; cộng lạm phát</t>
  </si>
  <si>
    <t>Khấu hao năm chuẩn hoá = 6 tháng 2026 × 2 (chỉ dùng cho EBITDA)</t>
  </si>
  <si>
    <t>Thuế suất trên lợi nhuận lõi, 12 tháng (lãi tài chính ròng chịu 20%)</t>
  </si>
  <si>
    <t xml:space="preserve">   cùng cách tính cho năm 2025</t>
  </si>
  <si>
    <t>Giả định lãi tiền gửi chịu đủ 20%, phần miễn thuế rơi hết vào lợi nhuận lõi</t>
  </si>
  <si>
    <t>Vốn hoạt động lõi 30/06/2026 (01 mục D)</t>
  </si>
  <si>
    <t>ROIC lõi 12 tháng = EBIT lõi × (1 − thuế lõi) ÷ vốn hoạt động lõi</t>
  </si>
  <si>
    <t>Rất cao vì nhà máy cũ đã khấu hao gần hết — chính là lý do phải xây nhà máy mới</t>
  </si>
  <si>
    <t>EBIT lõi tăng thêm mỗi quý: (6T/2026 − 6T/2025) ÷ 2</t>
  </si>
  <si>
    <t>MỐC KIỂM: LNST Q3/2026 = Q3/2025 + mức tăng × (1 − thuế) (tỷ)</t>
  </si>
  <si>
    <t>B = giữ đúng đà 6 tháng · C = còn một nửa · D = mạnh gấp rưỡi. Q3/2025 là quý xấu nhất 2025 (LNST 28 tỷ, khuyến mãi 182 tỷ). BCTC Q3 ra cuối tháng 10/2026</t>
  </si>
  <si>
    <t>C. BA KỊCH BẢN (năm chuẩn hoá ~2027, trước khi dự án có lãi — không phải dự phóng một năm)</t>
  </si>
  <si>
    <t>Mốc thực tế</t>
  </si>
  <si>
    <t>ĐỘNG CƠ LÕI (phương pháp 1, 2, 3, 5)</t>
  </si>
  <si>
    <t>B — doanh thu phần còn lại (tỷ)</t>
  </si>
  <si>
    <t>Mốc = 12 tháng. 6T/2026 +12,8% so cùng kỳ; 2026 chạy đà ~2.390. Xấu = mức 2025 (2.167) nếu Creamery không cất cánh; Tốt = mức 2023 (2.710). Kế hoạch 2026 doanh thu 3.126 tỷ ≈ B 2.470</t>
  </si>
  <si>
    <t>V — bán cho Vinamilk (tỷ)</t>
  </si>
  <si>
    <t>Bò vẫn cho sữa mỗi ngày: hàng thương hiệu bán chậm thì sữa dư dồn sang V. 2025: 668; 6T/2026 −8,6%</t>
  </si>
  <si>
    <t>Biên gộp của B: chênh so 12 tháng (điểm %)</t>
  </si>
  <si>
    <t>Mốc = 6T/2026 − 12 tháng. Giá thu mua sữa, thức ăn (ngô, khô đậu +21–25% so cùng kỳ tháng 9/2026) và cơ cấu sản phẩm</t>
  </si>
  <si>
    <t>Chi phí bán hàng ÷ B</t>
  </si>
  <si>
    <t>2024–2025 28%; 6T/2026 25%; 12 tháng 27,3%. Đẩy Creamery vào miền Nam tốn khuyến mãi</t>
  </si>
  <si>
    <t>Thuế suất trên lợi nhuận lõi</t>
  </si>
  <si>
    <t>Tăng trưởng B mỗi năm 2027–2031 (PP 2, 3)</t>
  </si>
  <si>
    <t>Ngành sữa tăng thấp (−1% đến 3%/năm theo KBSV); Creamery là biến số</t>
  </si>
  <si>
    <t>BỘI SỐ (phương pháp 1, 5) — dùng chung ba kịch bản</t>
  </si>
  <si>
    <t>P/E trên lợi nhuận lõi sau thuế và quỹ</t>
  </si>
  <si>
    <t>EV/EBITDA lõi</t>
  </si>
  <si>
    <t>Bội số Vinasoy quy ra ~6,6x; ≈ EV/EBITDA cơ bản ở r mới (05 mục A). Vietcap ghi 10,8x nhưng KHÔNG trừ tiền gửi có kỳ hạn — không so thẳng</t>
  </si>
  <si>
    <t>PHƯƠNG PHÁP 4 — P/B theo ROE (không qua động cơ lõi)</t>
  </si>
  <si>
    <t>ROE chu kỳ, trước trích quỹ</t>
  </si>
  <si>
    <t>Mốc = bình quân 2022–2025 (sau đợt phát hành). 2024–2025 9,4–9,5%; 12 tháng 11,3%. Tính trên vốn chủ GỒM tiền gửi — coi tiền nằm lại công ty mãi, nên khắt khe hơn PP 1</t>
  </si>
  <si>
    <t>CỔ TỨC VÀ TIỀN (phương pháp 3) — hai dự án: xem 06_Dự án</t>
  </si>
  <si>
    <t>Cổ tức tiền mặt 2027–2031 (đồng/cổ phiếu)</t>
  </si>
  <si>
    <t>Chính sách 2026: tối thiểu 50% LNST (ĐHĐCĐ 20/04/2026) ≈ 1.000đ ở kế hoạch 241 tỷ → Xấu. 2022–2025 trả 2.000đ → Tốt. Cơ sở 1.500đ = 165 tỷ/năm — TỰ ĐẶT. Tiền âm thì phải vay (lãi suất ở mục A)</t>
  </si>
  <si>
    <t>Lãi suất tiền gửi</t>
  </si>
  <si>
    <t>Đối chứng: không đổi gì (phải ra đúng cơ sở)</t>
  </si>
  <si>
    <t>Không xây nhà máy trong 5 năm — MỨC TRẦN (coi nhà máy cũ chạy mãi không tốn thêm)</t>
  </si>
  <si>
    <t>Nhà máy chạy từ 2028 (lịch công ty: xong Q4/2027)</t>
  </si>
  <si>
    <t>Sữa trang trại bán thô 13.000 đ/lít</t>
  </si>
  <si>
    <t>Chi phí nuôi 11.500 đ/lít</t>
  </si>
  <si>
    <t>ERP 10% (VDSC, cận trên)</t>
  </si>
  <si>
    <t>β phần kinh doanh 0,85 (bằng dự án)</t>
  </si>
  <si>
    <t>Cổ tức 1.000đ/cp (tối thiểu 50% LNST)</t>
  </si>
  <si>
    <t>B về mức 2025 (Creamery không cất cánh)</t>
  </si>
  <si>
    <t>B về mức 2023</t>
  </si>
  <si>
    <t>Chi phí bán hàng ÷ B = mức 12 tháng</t>
  </si>
  <si>
    <t>P/E lõi 10x (như bản 09/10)</t>
  </si>
  <si>
    <t>P/E lõi = P/E trung vị lịch sử MCM</t>
  </si>
  <si>
    <t>Biên gộp B giữ mức 6T/2026</t>
  </si>
  <si>
    <t>β phần kinh doanh 0,65</t>
  </si>
  <si>
    <t>Chỉ tiêu (tỷ đồng)</t>
  </si>
  <si>
    <t>T0</t>
  </si>
  <si>
    <t>T1</t>
  </si>
  <si>
    <t>T2</t>
  </si>
  <si>
    <t>T3</t>
  </si>
  <si>
    <t>T4</t>
  </si>
  <si>
    <t>T5</t>
  </si>
  <si>
    <t>T6</t>
  </si>
  <si>
    <t>T7</t>
  </si>
  <si>
    <t>T8</t>
  </si>
  <si>
    <t>T9</t>
  </si>
  <si>
    <t>T10</t>
  </si>
  <si>
    <t>T11</t>
  </si>
  <si>
    <t>T12</t>
  </si>
  <si>
    <t>T13</t>
  </si>
  <si>
    <t>T14</t>
  </si>
  <si>
    <t>P. THAM SỐ — cột Xấu/Cơ sở/Tốt lấy từ 02 và 06; cột phép thử = Cơ sở, trừ một ô nền xanh</t>
  </si>
  <si>
    <t>B — doanh thu phần còn lại</t>
  </si>
  <si>
    <t>V — bán cho Vinamilk</t>
  </si>
  <si>
    <t>Biên gộp B: chênh so 12 tháng</t>
  </si>
  <si>
    <t>Thuế suất lõi</t>
  </si>
  <si>
    <t>Tăng trưởng B 2027–2031</t>
  </si>
  <si>
    <t>ROE chu kỳ</t>
  </si>
  <si>
    <t>Cổ tức 2027–2031 (đồng/cp)</t>
  </si>
  <si>
    <t>Trang trại: vốn phần bò sữa</t>
  </si>
  <si>
    <t>Trang trại: vốn phần du lịch</t>
  </si>
  <si>
    <t>Trang trại: triệu lít/năm khi đủ đàn</t>
  </si>
  <si>
    <t>Trang trại: sản lượng 2027</t>
  </si>
  <si>
    <t>Trang trại: giá bán (đ/lít)</t>
  </si>
  <si>
    <t>Trang trại: chi phí tiền mặt (đ/lít)</t>
  </si>
  <si>
    <t>Trang trại: thu thêm bê, bò loại</t>
  </si>
  <si>
    <t>Trang trại: chi duy trì</t>
  </si>
  <si>
    <t>Trang trại: năm khấu hao</t>
  </si>
  <si>
    <t>Du lịch: lãi trước thuế từ 2028</t>
  </si>
  <si>
    <t>Nhà máy: có xây trong 5 năm</t>
  </si>
  <si>
    <t>Nhà máy: vốn giai đoạn 1</t>
  </si>
  <si>
    <t>Nhà máy: năm bắt đầu có lãi</t>
  </si>
  <si>
    <t>Lợi suất phi rủi ro</t>
  </si>
  <si>
    <t>Phần bù rủi ro thị trường</t>
  </si>
  <si>
    <t>β phần kinh doanh hiện tại</t>
  </si>
  <si>
    <t>β hai dự án</t>
  </si>
  <si>
    <t>Tăng trưởng dài hạn g</t>
  </si>
  <si>
    <t>Trích quỹ khen thưởng phúc lợi</t>
  </si>
  <si>
    <t>Lãi suất vay khi tiền âm</t>
  </si>
  <si>
    <t>Cổ tức tạm ứng đợt 1/2026 (đồng/cp)</t>
  </si>
  <si>
    <t>Biên gộp phần bán cho Vinamilk</t>
  </si>
  <si>
    <t>Biên gộp B 12 tháng</t>
  </si>
  <si>
    <t>Chi phí quản lý chuẩn hoá</t>
  </si>
  <si>
    <t>Khấu hao chuẩn hoá</t>
  </si>
  <si>
    <t>LỢI SUẤT YÊU CẦU PHẦN LÕI r = Rf + β × ERP</t>
  </si>
  <si>
    <t>A. LỢI NHUẬN LÕI CHUẨN HOÁ — tách bán cho Vinamilk (V) khỏi phần còn lại (B)</t>
  </si>
  <si>
    <t>Biên gộp của B = 12 tháng + chênh</t>
  </si>
  <si>
    <t>Lãi gộp = mV × V + biên B × B</t>
  </si>
  <si>
    <t>Chi phí bán hàng = CPBH/B × B</t>
  </si>
  <si>
    <t>Hàng bán cho Vinamilk không tốn khuyến mãi</t>
  </si>
  <si>
    <t>EBIT LÕI = lãi gộp − bán hàng − quản lý</t>
  </si>
  <si>
    <t>12 tháng tới Q2/2026 (02 mục B, theo năm 2025 kiểm toán); 2023: 261,8; 2025: 152,3</t>
  </si>
  <si>
    <t>Lợi nhuận lõi sau thuế</t>
  </si>
  <si>
    <t>LỢI NHUẬN LÕI THUỘC CỔ ĐÔNG (sau quỹ khen thưởng phúc lợi)</t>
  </si>
  <si>
    <t xml:space="preserve">   mỗi cổ phiếu (đồng)</t>
  </si>
  <si>
    <t>EBITDA lõi = EBIT lõi + khấu hao</t>
  </si>
  <si>
    <t>Vốn hoạt động lõi 30/06/2026</t>
  </si>
  <si>
    <t>ROIC lõi</t>
  </si>
  <si>
    <t>B. HAI DỰ ÁN — năm đủ công suất (giả định ở 06_Dự án; dòng tiền từng năm ở mục D, giá trị ở mục B2)</t>
  </si>
  <si>
    <t>Trang trại: tổng vốn theo kịch bản = phần bò sữa + phần du lịch</t>
  </si>
  <si>
    <t>Trang trại: còn phải chi sau 30/06/2026 (dồn vào 2027)</t>
  </si>
  <si>
    <t>Phần đã ghi sổ là chi phí chìm</t>
  </si>
  <si>
    <t>Trang trại: doanh thu khi đủ đàn = triệu lít × giá × (1 + thu thêm) ÷ 1.000</t>
  </si>
  <si>
    <t xml:space="preserve">   lãi trước khấu hao = doanh thu − triệu lít × chi phí ÷ 1.000</t>
  </si>
  <si>
    <t xml:space="preserve">   khấu hao phần bò sữa</t>
  </si>
  <si>
    <t xml:space="preserve">   lãi kế toán (thu nhập chăn nuôi miễn thuế)</t>
  </si>
  <si>
    <t xml:space="preserve">   tiền thu về = lãi trước khấu hao − chi duy trì</t>
  </si>
  <si>
    <t xml:space="preserve">   lãi trên vốn phần bò sữa</t>
  </si>
  <si>
    <t>Du lịch: lãi sau thuế 20% từ 2028</t>
  </si>
  <si>
    <t>Nhà máy: vốn còn phải chi</t>
  </si>
  <si>
    <t>Không xây thì 31 tỷ dở dang mất trắng (đã là chi phí chìm)</t>
  </si>
  <si>
    <t>Hệ số dòng tiền đều 20 năm sau 2031 ở lợi suất dự án</t>
  </si>
  <si>
    <t>D. DÒNG TIỀN 2027–2031 — lõi (phương pháp 2), hai dự án (B2), tiền ròng và cổ tức (phương pháp 3)</t>
  </si>
  <si>
    <t xml:space="preserve">   B</t>
  </si>
  <si>
    <t xml:space="preserve">   EBIT lõi</t>
  </si>
  <si>
    <t xml:space="preserve">   lợi nhuận lõi sau thuế</t>
  </si>
  <si>
    <t xml:space="preserve">   dòng tiền tự do phần lõi = lõi × (1 − quỹ) − tái đầu tư</t>
  </si>
  <si>
    <t xml:space="preserve">   chi trang trại</t>
  </si>
  <si>
    <t xml:space="preserve">   chi nhà máy (50% hai năm trước năm có lãi; có lãi 2028 thì dồn vào 2027)</t>
  </si>
  <si>
    <t xml:space="preserve">   chi hai dự án</t>
  </si>
  <si>
    <t xml:space="preserve">   lãi kế toán trang trại + du lịch</t>
  </si>
  <si>
    <t xml:space="preserve">   lãi tăng thêm nhà máy</t>
  </si>
  <si>
    <t xml:space="preserve">   lãi kế toán hai dự án</t>
  </si>
  <si>
    <t xml:space="preserve">   dòng tiền nhà máy = lãi × (1 − quỹ) − chi</t>
  </si>
  <si>
    <t xml:space="preserve">   hiện giá dòng tiền trang trại ở lợi suất dự án</t>
  </si>
  <si>
    <t xml:space="preserve">   hiện giá dòng tiền nhà máy ở lợi suất dự án</t>
  </si>
  <si>
    <t xml:space="preserve">   lãi tiền gửi (âm = lãi vay) trên số dư đầu năm</t>
  </si>
  <si>
    <t xml:space="preserve">   LNST = lõi + dự án + lãi × (1 − 20%)</t>
  </si>
  <si>
    <t xml:space="preserve">   cổ tức tiền mặt</t>
  </si>
  <si>
    <t xml:space="preserve">   cộng lại khấu hao trang trại − chi duy trì (không ra tiền)</t>
  </si>
  <si>
    <t xml:space="preserve">   TIỀN RÒNG CUỐI NĂM (âm = phải vay)</t>
  </si>
  <si>
    <t xml:space="preserve">   vốn chủ cuối năm</t>
  </si>
  <si>
    <t xml:space="preserve">   hiện giá cổ tức</t>
  </si>
  <si>
    <t>TIỀN RÒNG THẤP NHẤT 2027–2031 (âm = số phải vay)</t>
  </si>
  <si>
    <t>Cổ tức theo 02 mục C và chi cả hai dự án</t>
  </si>
  <si>
    <t>Năm đầu tiên tiền ròng âm</t>
  </si>
  <si>
    <t>GIÁ TRỊ RÒNG TRANG TRẠI (gồm du lịch)</t>
  </si>
  <si>
    <t>GIÁ TRỊ RÒNG HAI DỰ ÁN</t>
  </si>
  <si>
    <t xml:space="preserve">   quy ra đồng/cổ phiếu</t>
  </si>
  <si>
    <t>Hệ số: thêm 1 tỷ lãi trước khấu hao trang trại mỗi năm → thêm bao nhiêu tỷ giá trị</t>
  </si>
  <si>
    <t>Dùng cho mức hòa vốn và bảng 2 ở 04</t>
  </si>
  <si>
    <t>HÒA VỐN: giá bán sữa để giá trị ròng trang trại = 0 (đ/lít)</t>
  </si>
  <si>
    <t xml:space="preserve">   tương ứng lãi trên vốn nhà máy</t>
  </si>
  <si>
    <t>Tiền ròng 30/06/2026 (tính đủ mệnh giá)</t>
  </si>
  <si>
    <t>1. P/E LỢI NHUẬN LÕI + TIỀN + DỰ ÁN</t>
  </si>
  <si>
    <t>Giá trị kinh doanh lõi = lợi nhuận lõi thuộc cổ đông × P/E</t>
  </si>
  <si>
    <t>GIÁ TRỊ PHƯƠNG PHÁP 1 (đồng/cổ phiếu)</t>
  </si>
  <si>
    <t>5. EV/EBITDA LÕI + TIỀN + DỰ ÁN</t>
  </si>
  <si>
    <t>Giá trị doanh nghiệp lõi = EBITDA lõi × bội số</t>
  </si>
  <si>
    <t>GIÁ TRỊ PHƯƠNG PHÁP 5 (đồng/cổ phiếu)</t>
  </si>
  <si>
    <t>4. P/B THEO ROE — P/B hợp lý = (ROE × (1 − quỹ) − g) ÷ (r − g)</t>
  </si>
  <si>
    <t>GIÁ TRỊ PHƯƠNG PHÁP 4 (đồng/cổ phiếu)</t>
  </si>
  <si>
    <t>ROE dưới r → P/B &lt; 1: tiền gửi lãi ~7% trong tay công ty đáng ít hơn mệnh giá ở r</t>
  </si>
  <si>
    <t>Lợi nhuận lõi sau thuế năm 2032 = lõi 2031 × (1 + g)</t>
  </si>
  <si>
    <t>Giá trị cuối kỳ / giá trị phần lõi</t>
  </si>
  <si>
    <t>GIÁ TRỊ PHƯƠNG PHÁP 2 (đồng/cổ phiếu)</t>
  </si>
  <si>
    <t>3. CHIẾT KHẤU CỔ TỨC (DDM) — tạm ứng đợt 1/2026 + cổ tức 2027–2031 theo chính sách, sau đó trả theo ROE</t>
  </si>
  <si>
    <t>Hiện giá cổ tức tạm ứng đợt 1/2026 (khoảng tháng 11/2026, 5 tháng sau 30/06)</t>
  </si>
  <si>
    <t>LNST năm 2032 = (lõi + dự án) 2031 × (1 + g) + lãi trên tiền ròng cuối 2031</t>
  </si>
  <si>
    <t>ROE 2032 (sau quỹ, trên vốn chủ cuối 2031)</t>
  </si>
  <si>
    <t>Tỷ lệ chia bền vững = 1 − g ÷ ROE</t>
  </si>
  <si>
    <t>Giá trị cuối kỳ = cổ tức 2032 ÷ (r − g)</t>
  </si>
  <si>
    <t>Giá trị = tạm ứng 2026 + Σ hiện giá cổ tức 2027–2031 + hiện giá giá trị cuối kỳ</t>
  </si>
  <si>
    <t>GIÁ TRỊ PHƯƠNG PHÁP 3 (đồng/cổ phiếu)</t>
  </si>
  <si>
    <t>Dòng tiền ròng bắt đầu từ 30/06/2026, bỏ qua lợi nhuận nửa cuối 2026 — tạm ứng đợt 1 coi như chi từ lợi nhuận đó</t>
  </si>
  <si>
    <t>Độ phân tán: cao nhất ÷ thấp nhất giữa năm phương pháp</t>
  </si>
  <si>
    <t>Kiểm: cột đối chứng T0 ra đúng cơ sở</t>
  </si>
  <si>
    <t>Giá cổ phiếu (đồng)</t>
  </si>
  <si>
    <t>MCM — ĐỘ NHẠY (đồng/cổ phiếu)</t>
  </si>
  <si>
    <t>hàng \ cột</t>
  </si>
  <si>
    <t>Mỗi 1 điểm % chi phí bán hàng trên ~2.450 tỷ doanh thu = ~24,5 tỷ EBIT — gần bằng 150 tỷ doanh thu. Khuyến mãi quyết định lợi nhuận nhiều như doanh thu.</t>
  </si>
  <si>
    <t>BẢNG 2 — GIÁ TRỊ RÒNG HAI DỰ ÁN (đồng/cp): GIÁ BÁN SỮA TRANG TRẠI (hàng, đ/lít) × CHI PHÍ TIỀN MẶT MỖI LÍT (cột)</t>
  </si>
  <si>
    <t>Nhà máy giữ nguyên cơ sở. Mỗi 1.000 đ/lít ≈ 20 tỷ lãi trước khấu hao/năm. Cộng thẳng vào cả năm phương pháp (trừ P/B theo ROE). Mức hòa vốn từng kịch bản ở 06 mục C.</t>
  </si>
  <si>
    <t>BẢNG 3 — RIÊNG PHƯƠNG PHÁP 4: ROE CHU KỲ (hàng) × LỢI SUẤT YÊU CẦU r (cột)</t>
  </si>
  <si>
    <t>r ± 1 điểm ≈ β ± 0,11 ở ERP 9,2%. Phép thử β 0,65 / 0,85 và ERP 10% tính đủ cả năm phương pháp ở bảng 4 (T5, T6, T14).</t>
  </si>
  <si>
    <t>Phép thử</t>
  </si>
  <si>
    <t>Giá trị thử</t>
  </si>
  <si>
    <t>Chênh (đồng)</t>
  </si>
  <si>
    <t>Chênh %</t>
  </si>
  <si>
    <t>Cột ở 03</t>
  </si>
  <si>
    <t>Đọc thế nào</t>
  </si>
  <si>
    <t>T0 · Đối chứng: không đổi gì (phải ra đúng cơ sở)</t>
  </si>
  <si>
    <t>H</t>
  </si>
  <si>
    <t>Phải bằng 0 — kiểm đường ống phép thử</t>
  </si>
  <si>
    <t>T1 · Không xây nhà máy trong 5 năm — MỨC TRẦN (coi nhà máy cũ chạy mãi không tốn thêm)</t>
  </si>
  <si>
    <t>I</t>
  </si>
  <si>
    <t>MỨC TRẦN: không tính chi phí giữ nhà máy cũ (hết đất, xuống cấp) hay Creamery bị chặn công suất</t>
  </si>
  <si>
    <t>T2 · Nhà máy chạy từ 2028 (lịch công ty: xong Q4/2027)</t>
  </si>
  <si>
    <t>J</t>
  </si>
  <si>
    <t>Chi sớm hơn nhưng có lãi sớm hơn</t>
  </si>
  <si>
    <t>T3 · Sữa trang trại bán thô 13.000 đ/lít</t>
  </si>
  <si>
    <t>K</t>
  </si>
  <si>
    <t>Creamery không hút được sữa trại mới — bán thô cho Vinamilk</t>
  </si>
  <si>
    <t>T4 · Chi phí nuôi 11.500 đ/lít</t>
  </si>
  <si>
    <t>L</t>
  </si>
  <si>
    <t>T5 · ERP 10% (VDSC, cận trên)</t>
  </si>
  <si>
    <t>M</t>
  </si>
  <si>
    <t>Mức VDSC dùng cho doanh nghiệp chu kỳ</t>
  </si>
  <si>
    <t>T6 · β phần kinh doanh 0,85 (bằng dự án)</t>
  </si>
  <si>
    <t>N</t>
  </si>
  <si>
    <t>Coi kinh doanh hiện tại rủi ro như dự án</t>
  </si>
  <si>
    <t>T7 · Cổ tức 1.000đ/cp (tối thiểu 50% LNST)</t>
  </si>
  <si>
    <t>O</t>
  </si>
  <si>
    <t>T8 · B về mức 2025 (Creamery không cất cánh)</t>
  </si>
  <si>
    <t>P</t>
  </si>
  <si>
    <t>Creamery không bù được sữa thương hiệu đang giảm</t>
  </si>
  <si>
    <t>T9 · B về mức 2023</t>
  </si>
  <si>
    <t>Q</t>
  </si>
  <si>
    <t>Hàng thương hiệu trở lại thời trước 2024</t>
  </si>
  <si>
    <t>T10 · Chi phí bán hàng ÷ B = mức 12 tháng</t>
  </si>
  <si>
    <t>R</t>
  </si>
  <si>
    <t>T11 · P/E lõi 10x (như bản 09/10)</t>
  </si>
  <si>
    <t>S</t>
  </si>
  <si>
    <t>T12 · P/E lõi = P/E trung vị lịch sử MCM</t>
  </si>
  <si>
    <t>T</t>
  </si>
  <si>
    <t>T13 · Biên gộp B giữ mức 6T/2026</t>
  </si>
  <si>
    <t>U</t>
  </si>
  <si>
    <t>Biên gộp nửa đầu 2026 là mức bền</t>
  </si>
  <si>
    <t>T14 · β phần kinh doanh 0,65</t>
  </si>
  <si>
    <t>Đầu dưới dải β (MCM tự tính 0,70)</t>
  </si>
  <si>
    <t>Trọng số bằng nhau (20% mỗi phương pháp)</t>
  </si>
  <si>
    <t>Chỉ phương pháp 1 (P/E lõi + tiền + dự án)</t>
  </si>
  <si>
    <t>Cách thị trường hay nhìn MCM</t>
  </si>
  <si>
    <t>Chỉ phương pháp 3 (cổ tức)</t>
  </si>
  <si>
    <t>Góc nhìn của cổ đông thiểu số</t>
  </si>
  <si>
    <t>MCM — ĐỐI CHIẾU CHÉO</t>
  </si>
  <si>
    <t>Tại giá thị trường</t>
  </si>
  <si>
    <t>Vốn hoá (tỷ đồng)</t>
  </si>
  <si>
    <t>Giá trị phần lõi + dự án = vốn hoá − tiền ròng (tỷ đồng)</t>
  </si>
  <si>
    <t>Thị trường trả cho kinh doanh lõi CỘNG hai dự án bao nhiêu sau khi trừ tiền</t>
  </si>
  <si>
    <t>P/E 12 tháng (cả lãi tiền gửi)</t>
  </si>
  <si>
    <t>Cách thị trường và Vietcap đọc</t>
  </si>
  <si>
    <t>P/E lõi 12 tháng = (vốn hoá − tiền) ÷ lợi nhuận lõi sau thuế, sau quỹ</t>
  </si>
  <si>
    <t>Coi dự án hòa vốn</t>
  </si>
  <si>
    <t>P/E lõi chuẩn hoá cơ sở</t>
  </si>
  <si>
    <t>So P/E đặt ở 02 (10,8x) — chưa trừ giá trị ròng dự án</t>
  </si>
  <si>
    <t>P/B (sổ sách 30/06/2026)</t>
  </si>
  <si>
    <t>EV/EBITDA lõi 12 tháng (EV = vốn hoá − tiền)</t>
  </si>
  <si>
    <t>Tỷ suất cổ tức (2.000đ/cp như 2022–2025)</t>
  </si>
  <si>
    <t>Cổ tức 2025 cao hơn LNST sau quỹ — chính sách 2026 hạ về tối thiểu 50% LNST</t>
  </si>
  <si>
    <t>Bội số mà ROIC lõi và r (02 mục A) biện minh được. Đặt ở 02: 10,8x</t>
  </si>
  <si>
    <t>Đặt ở 02: 6,6x</t>
  </si>
  <si>
    <t>B. GIÁ ĐANG NGẦM ĐỊNH ĐIỀU GÌ — giải ngược dạng đóng</t>
  </si>
  <si>
    <t>(a) ROE thuộc cổ đông ngầm định (công thức phương pháp 4)</t>
  </si>
  <si>
    <t xml:space="preserve">    quy về ROE trước trích quỹ</t>
  </si>
  <si>
    <t>So ROE 2022–2025 bình quân và 12 tháng (01 mục F)</t>
  </si>
  <si>
    <t>(b) P/E lõi ngầm định nếu hai dự án hòa vốn</t>
  </si>
  <si>
    <t>Trên lợi nhuận lõi chuẩn hoá cơ sở</t>
  </si>
  <si>
    <t>(c) P/E lõi ngầm định với giá trị ròng dự án cơ sở</t>
  </si>
  <si>
    <t>Cao hơn P/E đặt ở 02 nghĩa là giá đang trả trước cho dự án tốt hơn cơ sở</t>
  </si>
  <si>
    <t>(d) B (doanh thu phần còn lại) ngầm định ở P/E đặt ở 02 và dự án cơ sở (tỷ)</t>
  </si>
  <si>
    <t>So B cơ sở 2.450; 12 tháng 2.302; đỉnh 2023 2.710</t>
  </si>
  <si>
    <t>(e) Giá trị ròng dự án ngầm định ở P/E đặt ở 02 và lõi cơ sở (tỷ)</t>
  </si>
  <si>
    <t>So giá trị ròng dự án cơ sở ở 06 mục C</t>
  </si>
  <si>
    <t>(f) LỢI SUẤT YÊU CẦU PHẦN KINH DOANH NGẦM ĐỊNH Ở GIÁ HIỆN TẠI</t>
  </si>
  <si>
    <t>Bằng g + lợi nhuận lõi × (1 − g ÷ ROIC) ÷ (vốn hoá − tiền − dự án). So r ở 02 mục A: thấp hơn r = giá đắt</t>
  </si>
  <si>
    <t>(g) LỢI SUẤT KỲ VỌNG CẢ CỔ PHIẾU NẾU MUA Ở GIÁ HIỆN TẠI</t>
  </si>
  <si>
    <t>Bình quân: phần kinh doanh ở (f), phần tiền gửi ở lãi tiền gửi sau thuế, sau quỹ — tiền là ~nửa giá trị</t>
  </si>
  <si>
    <t>(h) Chênh so lãi tiền gửi tham chiếu của nhà đầu tư (điểm %)</t>
  </si>
  <si>
    <t>Tự kiểm: thế (a) ngược vào công thức phương pháp 4 ra đúng giá thị trường</t>
  </si>
  <si>
    <t>Tự kiểm: thế (d) vào phương pháp 1 cơ sở ra đúng giá thị trường</t>
  </si>
  <si>
    <t>C. HAI ĐƯỜNG TỚI ROE — lịch sử (phương pháp 4) và động cơ lõi + lãi tiền gửi</t>
  </si>
  <si>
    <t>ROE chu kỳ lịch sử đặt ở 02 (trước trích quỹ)</t>
  </si>
  <si>
    <t>ROE theo động cơ = (lợi nhuận lõi + lãi tiền gửi × 80%) ÷ vốn chủ 30/06/2026, trước dự án</t>
  </si>
  <si>
    <t>Chênh (điểm %)</t>
  </si>
  <si>
    <t>Gần 0 = hai cách độc lập kể cùng câu chuyện. Khi tiền gửi đổ vào dự án ROIC thấp, ROE không tăng dù tiền nhàn rỗi giảm</t>
  </si>
  <si>
    <t>D. NHÓM SO SÁNH (số cứng — cập nhật tay)</t>
  </si>
  <si>
    <t>Mã</t>
  </si>
  <si>
    <t>P/E</t>
  </si>
  <si>
    <t>P/B</t>
  </si>
  <si>
    <t>EV/EBITDA 12 tháng</t>
  </si>
  <si>
    <t>VNM</t>
  </si>
  <si>
    <t>Vinamilk — công ty mẹ cấp cao nhất của MCM</t>
  </si>
  <si>
    <t>IDP</t>
  </si>
  <si>
    <t>Sữa Quốc tế (Kun) — tăng trưởng, ít tiền gửi</t>
  </si>
  <si>
    <t>QNS</t>
  </si>
  <si>
    <t>Đường Quảng Ngãi — Vinasoy (sữa đậu nành) + đường</t>
  </si>
  <si>
    <t>SAB</t>
  </si>
  <si>
    <t>Bia — hàng tiêu dùng, nhiều tiền gửi như MCM</t>
  </si>
  <si>
    <t>MCM</t>
  </si>
  <si>
    <t>Hệ thống (Vietcap) — để so. EV KHÔNG trừ tiền gửi có kỳ hạn → không so thẳng với mục A</t>
  </si>
  <si>
    <t>Trung vị VNM, IDP, QNS, SAB</t>
  </si>
  <si>
    <t>P/E, P/B: daily_valuation phiên 07/10/2026. EV/EBITDA: gen_ratios_vietcap RATIO_TTM Q2/2026. Không mã nào cùng mô hình nửa trại sữa nửa thương hiệu, lại bị công ty mẹ mua sữa — chỉ để định vị.</t>
  </si>
  <si>
    <t>E. ĐỐI CHIẾU VỚI FILE QNS — nếu định giá phần lõi như Vinasoy (9 lần EBIT, dùng chung)</t>
  </si>
  <si>
    <t>Bội số Vinasoy trong file QNS (lần EBIT)</t>
  </si>
  <si>
    <t>QNS_SOTP_2026-09-30.xlsx, 02_Giả định dòng 25 — đọc trên bản sao 09/10/2026</t>
  </si>
  <si>
    <t>Giá trị = (EBIT lõi × 9 + tiền ròng + giá trị ròng dự án) ÷ cổ phiếu (đồng)</t>
  </si>
  <si>
    <t>Không trừ quỹ khen thưởng phúc lợi, không trừ thuế — cách đọc của file QNS. Dùng để thấy chênh giữa hai file, không đưa vào bình quân</t>
  </si>
  <si>
    <t>F. MỐC KIỂM QUÝ 3/2026 — đà cải thiện lợi nhuận lõi 6 tháng có giữ được không</t>
  </si>
  <si>
    <t>Dự báo (giữ đà)</t>
  </si>
  <si>
    <t>Cận dưới</t>
  </si>
  <si>
    <t>Cận trên</t>
  </si>
  <si>
    <t>Thực tế</t>
  </si>
  <si>
    <t>Trạng thái</t>
  </si>
  <si>
    <t>LNST Q3/2026 (tỷ đồng)</t>
  </si>
  <si>
    <t>Cận dưới/trên = còn một nửa / mạnh gấp rưỡi mức EBIT lõi tăng thêm mỗi quý của 6T/2026. Kèm theo: xây dựng dở dang nhà máy có nhích khỏi 31 tỷ không (san lấp Q3/2026 theo kế hoạch).</t>
  </si>
  <si>
    <t>Thuyết minh bên liên quan</t>
  </si>
  <si>
    <t>Bảng cân đối</t>
  </si>
  <si>
    <t>Nghị quyết HĐQT, ĐHĐCĐ</t>
  </si>
  <si>
    <t>2. Phương pháp 1, 2, 3, 5 cùng đi từ một con số lợi nhuận lõi chuẩn hoá — B và chi phí bán hàng sai thì bốn phương pháp sai cùng chiều. Chỉ phương pháp 4 (ROE lịch sử) độc lập.</t>
  </si>
  <si>
    <t>5. Lợi suất yêu cầu theo cách rút gọn của công ty chứng khoán (Rf + β × ERP); cách Damodaran đầy đủ (cộng riêng rủi ro quốc gia, Rf quy từ USD) cho MCM ~13,3%. Thuế: lãi tiền gửi chịu đủ 20%, phần miễn thuế dồn hết vào lợi nhuận lõi.</t>
  </si>
  <si>
    <t>7. Thanh khoản rất thấp (~0,4 tỷ/phiên): giá thị trường có thể lệch xa giá trị lâu; Vinamilk có thể mua nốt hoặc không bao giờ — không mô hình.</t>
  </si>
  <si>
    <t>A. TRANG TRẠI 4.000 CON — tách phần bò sữa (lít × giá − chi phí) và phần du lịch</t>
  </si>
  <si>
    <t>Mốc / nguồn số</t>
  </si>
  <si>
    <t>Vốn phần trang trại bò sữa (tỷ)</t>
  </si>
  <si>
    <t>Mốc = 1.120 × 70% (tỷ lệ 700/1.000 lúc khởi công). Xấu: vượt dự toán ~10% — đang lắp máy, nhập gian vắt sữa. Vinamilk Quảng Ngãi 4.000 con: 700 tỷ</t>
  </si>
  <si>
    <t>Vốn phần du lịch, cảnh quan thực làm (tỷ)</t>
  </si>
  <si>
    <t>Sản lượng khi đủ đàn (triệu lít/năm)</t>
  </si>
  <si>
    <t>Thiết kế 20; trại 2.000 con hiện có làm ra 11 triệu lít → 4.000 con ≈ 22. Năng suất đàn MCM 26 lít/con/ngày (BCTN 2025), KBSV kỳ vọng trại mới 30–32</t>
  </si>
  <si>
    <t>Sản lượng năm 2027 so với khi đủ đàn</t>
  </si>
  <si>
    <t>Chính thức Q2/2027, đủ đàn 2028 (KBSV). Xấu: lên đàn chậm (nguồn bò chưa công bố)</t>
  </si>
  <si>
    <t>Giá bán sữa của trang trại (đồng/lít)</t>
  </si>
  <si>
    <t>Chi phí tiền mặt mỗi lít: thức ăn, nhân công, thú y (đồng/lít)</t>
  </si>
  <si>
    <t>Thu thêm từ bê đực, bò loại (% doanh thu sữa)</t>
  </si>
  <si>
    <t>TỰ ĐẶT</t>
  </si>
  <si>
    <t>Chi duy trì chuồng trại, thiết bị (tỷ/năm)</t>
  </si>
  <si>
    <t>Khấu hao phần bò sữa (năm)</t>
  </si>
  <si>
    <t>Nhà cửa 5–33 năm, máy móc 5–24 năm (chính sách kế toán BCTC 2025)</t>
  </si>
  <si>
    <t>Du lịch: lãi trước thuế mỗi năm từ 2028 (tỷ)</t>
  </si>
  <si>
    <t>TỰ ĐẶT — không có số khách, giá vé. Mộc Châu 2,5 triệu lượt khách (2023), quy hoạch 5 triệu (2030); bán sữa tại chỗ chỉ tiêu được vài % sản lượng. Thuế 20% (không phải thu nhập chăn nuôi)</t>
  </si>
  <si>
    <t>B. NHÀ MÁY SỮA MỚI — giai đoạn 1 (giai đoạn 2 1.257 tỷ ngoài 5 năm, không tính)</t>
  </si>
  <si>
    <t>Có xây trong 5 năm (1 = có, 0 = không)</t>
  </si>
  <si>
    <t>Vốn giai đoạn 1 (tỷ)</t>
  </si>
  <si>
    <t>Năm bắt đầu có lãi (chi 50%/50% trong hai năm trước đó)</t>
  </si>
  <si>
    <t>C. KẾT QUẢ BA KỊCH BẢN (đọc từ 03 — đổi giả định ở trên là chạy lại)</t>
  </si>
  <si>
    <t>Trang trại: tổng vốn theo kịch bản (bò sữa + du lịch, tỷ)</t>
  </si>
  <si>
    <t xml:space="preserve">   còn phải chi sau 30/06/2026 (tỷ)</t>
  </si>
  <si>
    <t>Đã ghi sổ 415,3 tỷ (01 mục D) là chi phí chìm</t>
  </si>
  <si>
    <t>Trang trại: doanh thu khi đủ đàn (tỷ/năm)</t>
  </si>
  <si>
    <t>lít × giá × (1 + thu thêm)</t>
  </si>
  <si>
    <t xml:space="preserve">   lãi trước khấu hao (tỷ/năm)</t>
  </si>
  <si>
    <t>Mỗi 1.000 đ/lít giá hoặc chi phí ≈ 20 tỷ/năm</t>
  </si>
  <si>
    <t xml:space="preserve">   lãi sau khấu hao, miễn thuế (tỷ/năm)</t>
  </si>
  <si>
    <t xml:space="preserve">   LÃI TRÊN VỐN PHẦN BÒ SỮA</t>
  </si>
  <si>
    <t>So lợi suất dự án 12,4% và lãi gửi ngân hàng</t>
  </si>
  <si>
    <t>Du lịch: lãi sau thuế (tỷ/năm)</t>
  </si>
  <si>
    <t>Cần ~20 tỷ/năm mới bằng gửi tiết kiệm trên 150–336 tỷ vốn</t>
  </si>
  <si>
    <t>Nhà máy: vốn còn phải chi (tỷ)</t>
  </si>
  <si>
    <t>GIÁ TRỊ RÒNG TRANG TRẠI, gồm du lịch (tỷ)</t>
  </si>
  <si>
    <t>Âm = phần còn phải chi sinh lời dưới 12,4%</t>
  </si>
  <si>
    <t>GIÁ TRỊ RÒNG NHÀ MÁY (tỷ)</t>
  </si>
  <si>
    <t>GIÁ TRỊ RÒNG HAI DỰ ÁN (tỷ)</t>
  </si>
  <si>
    <t>Cộng vào cả năm phương pháp (PP4 qua ROE lịch sử)</t>
  </si>
  <si>
    <t>HÒA VỐN: giá bán sữa trang trại để giá trị ròng trang trại = 0 (đ/lít)</t>
  </si>
  <si>
    <t>Giữ chi phí ở kịch bản đó</t>
  </si>
  <si>
    <t>D. DÒNG TIỀN HAI DỰ ÁN, KỊCH BẢN CƠ SỞ (tỷ đồng, 03 mục D)</t>
  </si>
  <si>
    <t>Chi trang trại</t>
  </si>
  <si>
    <t>Chi nhà máy</t>
  </si>
  <si>
    <t>Lãi kế toán hai dự án</t>
  </si>
  <si>
    <t>Dòng tiền trang trại + du lịch sau quỹ</t>
  </si>
  <si>
    <t>Dòng tiền nhà máy sau quỹ</t>
  </si>
  <si>
    <t>E. THEO DÕI MỖI QUÝ — dự án đi đúng hay lệch</t>
  </si>
  <si>
    <t>Xem ở đâu</t>
  </si>
  <si>
    <t>Xây dựng dở dang trang trại</t>
  </si>
  <si>
    <t>Thuyết minh xây dựng dở dang</t>
  </si>
  <si>
    <t>Chuyển sang tài sản cố định ~Q2/2027</t>
  </si>
  <si>
    <t>Kéo dài, hoặc tổng vốn vượt 1.120 tỷ</t>
  </si>
  <si>
    <t>Tiền phát hành chi cho nhà máy</t>
  </si>
  <si>
    <t>Báo cáo sử dụng vốn (6 tháng/lần)</t>
  </si>
  <si>
    <t>Tăng — đã san lấp, xây hàng rào</t>
  </si>
  <si>
    <t>Đứng ở ~32 tỷ</t>
  </si>
  <si>
    <t>Tiền ròng</t>
  </si>
  <si>
    <t>Giảm đúng nhịp chi dự án</t>
  </si>
  <si>
    <t>Giảm nhanh hơn, hoặc bắt đầu vay</t>
  </si>
  <si>
    <t>≥ 50% LNST mà không phải vay</t>
  </si>
  <si>
    <t>Vay để trả cổ tức</t>
  </si>
  <si>
    <t>Bán cho Vinamilk</t>
  </si>
  <si>
    <t>Ổn định</t>
  </si>
  <si>
    <t>Tiếp tục giảm (6T/2026 −8,6%)</t>
  </si>
  <si>
    <t>Đàn bò</t>
  </si>
  <si>
    <t>Thuyết minh tài sản sinh học</t>
  </si>
  <si>
    <t>Tăng mạnh 2026–2027</t>
  </si>
  <si>
    <t>Đứng yên</t>
  </si>
  <si>
    <t>Biên lãi gộp</t>
  </si>
  <si>
    <t>Kết quả kinh doanh</t>
  </si>
  <si>
    <t>Tăng khi sữa trại mới vào Creamery (2027–2028)</t>
  </si>
  <si>
    <t>Sản lượng tăng mà biên không tăng</t>
  </si>
  <si>
    <t>Tiền thuê đất</t>
  </si>
  <si>
    <t>Thuyết minh thuế, phải nộp</t>
  </si>
  <si>
    <t>Rõ phần của dự án</t>
  </si>
  <si>
    <t>Tiếp tục tăng mạnh (6T/2026: 19,1 tỷ)</t>
  </si>
  <si>
    <t>Doanh thu du lịch hoặc "khác"</t>
  </si>
  <si>
    <t>Thuyết minh doanh thu</t>
  </si>
  <si>
    <t>Xuất hiện từ 2027</t>
  </si>
  <si>
    <t>Không có</t>
  </si>
  <si>
    <t>1. Giá MCM bán sữa tươi nguyên liệu cho Vinamilk và giá thu mua của nông hộ (đ/kg) — ĐHĐCĐ 2026 hỏi thẳng, công ty không nêu số.</t>
  </si>
  <si>
    <t>2. Chi phí ra 1 lít sữa ở trại tập trung 2.000 con hiện có.</t>
  </si>
  <si>
    <t>3. Toàn văn QĐ 2932/QĐ-UBND ngày 19/11/2025: vốn, giai đoạn, tiến độ nhà máy sau điều chỉnh.</t>
  </si>
  <si>
    <t>4. 1.120 tỷ hiện gồm những gì; phần du lịch còn bao nhiêu; đã gồm tiền mua bò chưa.</t>
  </si>
  <si>
    <t>5. Bò cho trại mới lấy từ đâu; 40,9 tỷ mua của Lao-Jagro là tài sản gì.</t>
  </si>
  <si>
    <t>6. Sản lượng sữa nguyên liệu từng năm, chia trại tự có / nông hộ, bán Vinamilk / chế biến.</t>
  </si>
  <si>
    <t>7. Tiền thuê 138 ha (QĐ 2126/QĐ-UBND 19/10/2023): đơn giá, trả hằng năm hay một lần.</t>
  </si>
  <si>
    <t>B: cột B · V: cột C, Trên 100 đồng doanh thu, hàng thương hiệu giữ ~7,4 đồng sau khuyến mãi, phần bán cho Vinamilk giữ 10 đồng (ước). So theo doanh thu, không theo lít sữa: một lít làm thành hàng thương hiệu cho doanh thu cao hơn bán thô. Đòn bẩy thật là biên gộp B và tỷ lệ khuyến mãi</t>
  </si>
  <si>
    <t>T15</t>
  </si>
  <si>
    <t>Toàn bộ là công thức đọc từ 01 và 02 — không nhập số ở sheet này, TRỪ ô đổi tham số ở cột phép thử (nền xanh lá). Mỗi cột H–W là một bản tính lại đầy đủ: lấy đúng tham số cột Cơ sở, đổi đúng một ô (T15 đổi thêm biên gộp B 12 tháng đi kèm để EBIT 12 tháng vẫn khớp).</t>
  </si>
  <si>
    <t>W</t>
  </si>
  <si>
    <t>Lợi nhuận lõi, dòng tiền 2027–2031 (lõi, dự án, tiền), năm phương pháp × ba kịch bản, 16 cột phép thử</t>
  </si>
  <si>
    <t>Chiết khấu tiền ròng khi cộng vào giá trị (k)</t>
  </si>
  <si>
    <t>Lợi nhuận lõi chuẩn hoá × P/E, cộng tiền theo mệnh giá, cộng giá trị ròng dự án · Từ 13/10/2026 chỉ đối chiếu (trước 30%)</t>
  </si>
  <si>
    <t>Dòng tiền phần lõi 2027–2031 ở r lõi; hai dự án cộng riêng (06) ở lợi suất dự án · Từ 13/10/2026 DÙNG LÀM GIÁ TRỊ: 100% (trước 25%)</t>
  </si>
  <si>
    <t>Cổ đông thiểu số chỉ nhận cổ tức; Vinamilk kiểm soát 68% quyết định chia bao nhiêu · Từ 13/10/2026 chỉ đối chiếu (trước 20%): r phần kinh doanh áp cả lên tiền gửi nên định giá tiền thấp</t>
  </si>
  <si>
    <t>ROE lịch sử, độc lập với động cơ lõi; coi tiền gửi nằm lại công ty mãi · Từ 13/10/2026 chỉ đối chiếu (trước 15%): như phương pháp 3, mỗi đồng tiền chỉ được ~0,25 đồng</t>
  </si>
  <si>
    <t>Gần như trùng phương pháp 1 (không vay) · Từ 13/10/2026 chỉ đối chiếu (trước 10%)</t>
  </si>
  <si>
    <t>TỔNG HỢP — GIÁ TRỊ THEO TRỌNG SỐ 02 (từ 13/10/2026: DCF 100%, còn lại đối chiếu) (mọi cột)</t>
  </si>
  <si>
    <t>Giá trị cơ sở</t>
  </si>
  <si>
    <t>Cách tính trước 13/10: bình quân năm phương pháp 30/25/20/15/10, tiền tính đủ</t>
  </si>
  <si>
    <t>k = 20%</t>
  </si>
  <si>
    <t>Vinamilk giữ tiền lâu hoặc dồn vào dự án mới</t>
  </si>
  <si>
    <t>Giá trị cơ sở (đồng)</t>
  </si>
  <si>
    <t>GIÁ TRỊ TỪNG KỊCH BẢN (= phương pháp 2)</t>
  </si>
  <si>
    <t>Đối chiếu. Tạm ứng 2026 + cổ tức 2027–2031 theo chính sách, sau đó trả theo ROE</t>
  </si>
  <si>
    <t>Đối chiếu. ROE lịch sử, không qua động cơ lõi</t>
  </si>
  <si>
    <t>Trên 1,5x: xem vì sao các phương pháp đối chiếu lệch xa DCF</t>
  </si>
  <si>
    <t>k</t>
  </si>
  <si>
    <t>Phần tiền ròng không tính vào giá trị: cổ đông thiểu số có thể không nhận đủ (Vinamilk 68% quyết chia). 10% (02 ô B26)</t>
  </si>
  <si>
    <t>Ít tiền về cổ đông sớm, ít phải vay · Từ 13/10/2026 chênh 0: chỉ đổi phương pháp đối chiếu</t>
  </si>
  <si>
    <t>Bội số bản 09/10 (khi r = 14%) · Từ 13/10/2026 chênh 0: chỉ đổi phương pháp đối chiếu</t>
  </si>
  <si>
    <t>Bội số thị trường từng trả cho CẢ công ty (gồm lãi tiền gửi) — quá rộng tay cho phần lõi · Từ 13/10/2026 chênh 0: chỉ đổi phương pháp đối chiếu</t>
  </si>
  <si>
    <t>13/10/2026</t>
  </si>
  <si>
    <t>Quỹ khen thưởng, phúc lợi (nợ phải trả)</t>
  </si>
  <si>
    <t>GEN_BS_118 (DB). Tiền đã trích cho người lao động, không thuộc cổ đông — trừ khỏi tiền ròng khi định giá, cùng chịu chiết khấu k (02 mục A). Thêm 14/10/2026</t>
  </si>
  <si>
    <t>Chi đầu tư lõi (% doanh thu) (PP 2, 3)</t>
  </si>
  <si>
    <t>Theo quy trình (14/10/2026). Xấu = khấu hao vì không tăng trưởng; tốt cao hơn vì tăng nhanh. THẤP hơn lịch sử: chi ngoài xây dựng dở dang 2021–2025 ~90 tỷ/năm, khấu hao ~60 tỷ → độ nhạy chi duy trì 48 / 80 / 90 tỷ: +1.189 / 0 / −355 đ/cp (quy trình)</t>
  </si>
  <si>
    <t>Khấu hao lõi (% doanh thu)</t>
  </si>
  <si>
    <t>Khấu hao chuẩn hoá (mục B, 6 tháng 2026 × 2) ÷ doanh thu năm 1 ~3.090 tỷ. Mốc = ÷ doanh thu 12 tháng</t>
  </si>
  <si>
    <t>Vốn lưu động lõi (% doanh thu)</t>
  </si>
  <si>
    <t>Vốn lưu động lõi 30/06/2026 ≈ 120 tỷ ≈ 4,1% doanh thu 12 tháng. Tái đầu tư = (chi đầu tư − khấu hao) × doanh thu + vốn lưu động × tăng doanh thu (thay cách cũ: tăng trưởng B × vốn hoạt động sổ sách)</t>
  </si>
  <si>
    <t>Hệ số giải phóng vốn lưu động khi doanh thu giảm</t>
  </si>
  <si>
    <t>Xấu = 0: doanh thu co nhẹ năm 1 không được thưởng tiền giải phóng vốn lưu động (luật quy trình — tránh biến kịch bản xấu thành phần thưởng)</t>
  </si>
  <si>
    <t>ROIC lõi trung tâm = trung vị 2021–2025 (EBIT sạch; vốn bỏ xây dựng dở dang)</t>
  </si>
  <si>
    <t>Engine đo 13/10/2026: 53,9 · 45,2 · 30,7 · 21,7 · 26,7% (2021–2025). Cửa sổ có hai năm đỉnh (2021–22) và hai năm đáy (2024–25) — trung vị rơi đúng 2023</t>
  </si>
  <si>
    <t>Hệ số bền vững (luật ROIC trạng thái dừng)</t>
  </si>
  <si>
    <t>Đầu trên dải CHU KỲ 0,15–0,30 (quy trình): ROIC 5 năm trải 32 điểm, biên EBIT 5,3–9,2%, không kiểm soát giá sữa thu mua và thức ăn. Hệ số 0,15 / 0,45 → −550 / +380 đ/cp (quy trình)</t>
  </si>
  <si>
    <t>ROIC TRẠNG THÁI DỪNG = r + hệ số × (trung tâm − r), làm tròn 0,1 điểm</t>
  </si>
  <si>
    <t>Dùng cho giá trị cuối kỳ cả ba kịch bản (14/10/2026). Bản 12/10 ngầm định ROIC 28 / 41 / 54% vì chỉ trừ g × vốn hoạt động sổ sách ~460 tỷ — nhỏ do nhà máy cũ đã khấu hao gần hết. Theo giá thay thế: vốn lõi sau nhà máy mới ~1.200 tỷ, lợi nhuận lõi ~200–240 tỷ → 17–20%</t>
  </si>
  <si>
    <t>9% CẢ BA kịch bản (14/10/2026, theo quy trình; bản 12/10: 11 / 9 / 8%). Ưu đãi miễn thuế theo NGÀNH và ĐỊA BÀN (Nghị định 320/2025), không theo chu kỳ kinh doanh — năm xấu không làm thuế suất tăng; kịch bản xấu dồn sữa sang bán thô (thu nhập chăn nuôi miễn thuế). Mốc = 12 tháng; 2025: 8,8%. Mất ưu đãi để ở độ nhạy: thuế 20% → −2.092 đ/cp (quy trình)</t>
  </si>
  <si>
    <t>Không gán xác suất cho ba kịch bản. Kịch bản cơ sở là con số trung tâm; xấu và tốt là ranh giới khi mọi giả định cùng lệch về một phía. Vùng hành động neo kịch bản cơ sở (00 mục 2).</t>
  </si>
  <si>
    <t>Giá tại trại cả nước 13.000–14.500 đ/kg (2024), 14.000–15.000 (2025) — Người Chăn Nuôi 17/03/2026; Ba Vì 12.000–14.000 (09/2025). MCM: giá mua, giá bán cho Vinamilk 2026 "giữ nguyên 2025", không công bố số. Tốt = 15.000, đỉnh dải giá tại trại 2025 (14/10/2026, theo quy trình; bản 12/10: 16.000 giá nội bộ cho Creamery). Bán nội bộ giá cao chỉ chuyển tiền giữa hai túi — phần bù hàng cao cấp đã nằm ở biên gộp B</t>
  </si>
  <si>
    <t>Báo Sơn La 09/09/2025. QĐ 2932/QĐ-UBND 19/11/2025 điều chỉnh chủ trương — chưa có toàn văn. Xấu: vượt dự toán ~15%</t>
  </si>
  <si>
    <t>Chi đầu tư lõi (% doanh thu)</t>
  </si>
  <si>
    <t>Hệ số giải phóng vốn lưu động</t>
  </si>
  <si>
    <t>ROIC trạng thái dừng (dùng chung ba kịch bản)</t>
  </si>
  <si>
    <t>Quỹ khen thưởng phúc lợi 30/06/2026 (trừ cùng tiền, × (1 − k))</t>
  </si>
  <si>
    <t>Năm 1 — 2027 · lõi: 12 tháng 07/2026–06/2027, chiết khấu t = 0,5 · dự án: năm dương lịch 2027, t = 1</t>
  </si>
  <si>
    <t xml:space="preserve">   tái đầu tư lõi = (chi đầu tư − khấu hao) × doanh thu + vốn lưu động × tăng doanh thu</t>
  </si>
  <si>
    <t xml:space="preserve">   hiện giá dòng tiền phần lõi ở r (giữa kỳ)</t>
  </si>
  <si>
    <t xml:space="preserve">   dòng tiền trang trại + du lịch = tiền thu − quỹ × lãi dương − chi</t>
  </si>
  <si>
    <t>Năm 2 — 2028 · lõi: 12 tháng 07/2027–06/2028, chiết khấu t = 1,5 · dự án: năm dương lịch 2028, t = 2</t>
  </si>
  <si>
    <t>Năm 3 — 2029 · lõi: 12 tháng 07/2028–06/2029, chiết khấu t = 2,5 · dự án: năm dương lịch 2029, t = 3</t>
  </si>
  <si>
    <t>Năm 4 — 2030 · lõi: 12 tháng 07/2029–06/2030, chiết khấu t = 3,5 · dự án: năm dương lịch 2030, t = 4</t>
  </si>
  <si>
    <t>Năm 5 — 2031 · lõi: 12 tháng 07/2030–06/2031, chiết khấu t = 4,5 · dự án: năm dương lịch 2031, t = 5</t>
  </si>
  <si>
    <t>B2. GIÁ TRỊ HAI DỰ ÁN — hiện giá dòng tiền 2027–2031 + đuôi sau 2031 (trang trại 20 năm đều; nhà máy vĩnh viễn), ở lợi suất dự án</t>
  </si>
  <si>
    <t>Trang trại + du lịch: dòng tiền đều từ 2032 = tiền thu − quỹ × lãi dương</t>
  </si>
  <si>
    <t>Giá trị vốn chủ = lõi + (tiền ròng − quỹ) × (1 − k) + giá trị ròng dự án</t>
  </si>
  <si>
    <t>Giá trị vốn chủ = EV lõi + (tiền ròng − quỹ) × (1 − k) + giá trị ròng dự án</t>
  </si>
  <si>
    <t>Giá trị vốn chủ = phần lõi + (tiền ròng − quỹ) × (1 − k) + giá trị ròng dự án</t>
  </si>
  <si>
    <t>2. DCF PHẦN LÕI + TIỀN + DỰ ÁN — lõi chiết khấu giữa kỳ ở r, giá trị cuối kỳ theo ROIC trạng thái dừng; cộng (tiền − quỹ) × (1 − k) và hai dự án</t>
  </si>
  <si>
    <t>ROIC trạng thái dừng (02 mục B)</t>
  </si>
  <si>
    <t>Giá trị cuối kỳ = lợi nhuận × (1 − g ÷ ROIC dừng − quỹ) ÷ (r − g)</t>
  </si>
  <si>
    <t>Giá trị phần lõi = Σ hiện giá 5 năm + giá trị cuối kỳ chiết khấu 4,5 năm</t>
  </si>
  <si>
    <t>Thay vốn hoạt động sổ sách (bản 12/10 ngầm định ROIC 28–54%)</t>
  </si>
  <si>
    <t>GIÁ TRỊ TỪNG KỊCH BẢN (đồng/cổ phiếu) — bình quân có trọng số 02 = phương pháp 2</t>
  </si>
  <si>
    <t>Tiền ròng trừ quỹ, sau chiết khấu k (đồng/cổ phiếu)</t>
  </si>
  <si>
    <t>Như nhau ở ba kịch bản — phần đã biết, không mang rủi ro kinh doanh</t>
  </si>
  <si>
    <t>Phần ngoài tiền = giá trị − tiền ở trên (đồng/cổ phiếu)</t>
  </si>
  <si>
    <t>Lõi + hai dự án: phần mang rủi ro</t>
  </si>
  <si>
    <t>Biên an toàn trên phần ngoài tiền = (cơ sở − giá) ÷ (cơ sở − tiền)</t>
  </si>
  <si>
    <t>Yêu cầu ≥ biên an toàn ở 02 mục A</t>
  </si>
  <si>
    <t>Tỷ lệ lên/xuống = (tốt − giá) ÷ (giá − xấu)</t>
  </si>
  <si>
    <t>Dưới 1: phần có thể mất lớn hơn phần có thể được</t>
  </si>
  <si>
    <t>Chênh giá trị cơ sở so giá = (cơ sở − giá) ÷ giá</t>
  </si>
  <si>
    <t>Tại giá trị cơ sở</t>
  </si>
  <si>
    <t>6. Phần lõi tính 12 tháng một kỳ từ 01/07/2026, chiết khấu giữa kỳ (từ 14/10/2026 không còn bỏ nửa cuối 2026). Phương pháp 3 (cổ tức) vẫn bắt đầu 2027: tạm ứng đợt 1/2026 coi như chi từ lợi nhuận nửa cuối 2026.</t>
  </si>
  <si>
    <t>P/E lõi cơ bản = (1 − quỹ − g ÷ ROIC) ÷ ((1 − quỹ) × (r − g)), ROIC trạng thái dừng (02 mục B)</t>
  </si>
  <si>
    <t>EV/EBITDA lõi cơ bản = (1 − thuế)(1 − quỹ − g ÷ ROIC) × EBIT/EBITDA ÷ (r − g), ROIC trạng thái dừng (02 mục B)</t>
  </si>
  <si>
    <t>Quanh kịch bản CƠ SỞ. Ô nền vàng = cơ sở; nền cam = thấp hơn giá hiện tại (bảng 2: âm). Bảng 1–3 là công thức dạng đóng của riêng một phương pháp; bảng 4 đọc từ các cột phép thử ở 03 — mỗi dòng là một bản tính lại đầy đủ cả năm phương pháp. Bảng 5: tổng giá trị ba kịch bản theo chi phí mỗi lít ở trang trại.</t>
  </si>
  <si>
    <t>k = 0% ((tiền ròng − quỹ) tính đủ mệnh giá)</t>
  </si>
  <si>
    <t>BẢNG 1 — RIÊNG PHƯƠNG PHÁP 1: B, doanh thu phần còn lại (hàng, tỷ) × CHI PHÍ BÁN HÀNG ÷ B (cột) — (tiền − quỹ) × (1 − k) như phương pháp 1</t>
  </si>
  <si>
    <t>BẢNG 4 — PHÉP THỬ MỘT BIẾN trên GIÁ TRỊ CƠ SỞ = DCF + (tiền − quỹ) × (1 − k) + dự án (tính lại đầy đủ ở 03 cột H–W)</t>
  </si>
  <si>
    <t>Trọng số năm phương pháp trước 13/10, áp lên mô hình hiện tại</t>
  </si>
  <si>
    <t>Mỗi 10 điểm k ≈ 1.250 đ/cp (tiền trừ quỹ)</t>
  </si>
  <si>
    <t>BẢNG 5 — TỔNG GIÁ TRỊ (đồng/cp) THEO CHI PHÍ TIỀN MẶT MỖI LÍT Ở TRANG TRẠI (hàng, đ/lít) × BA KỊCH BẢN (cột) — giá bán sữa giữ theo từng kịch bản</t>
  </si>
  <si>
    <t>chi phí \ kịch bản</t>
  </si>
  <si>
    <t>Mỗi +100 đ/lít</t>
  </si>
  <si>
    <t>Kiểm: lãi trang trại ở chi phí cao nhất vẫn dương (bảng tuyến tính đúng)</t>
  </si>
  <si>
    <t>MCM — GIỐNG BÒ SỮA MỘC CHÂU · ĐỊNH GIÁ: DCF LÕI + TIỀN + DỰ ÁN, BA KỊCH BẢN (KHÔNG XÁC SUẤT), BỐN PHƯƠNG PHÁP ĐỐI CHIẾU</t>
  </si>
  <si>
    <t>(cơ sở − giá) ÷ (cơ sở − tiền)</t>
  </si>
  <si>
    <t>Đối chiếu. Lõi × P/E (02), (tiền − quỹ) × (1 − k), cộng giá trị ròng dự án (06)</t>
  </si>
  <si>
    <t>DÙNG LÀM GIÁ TRỊ. Dòng tiền phần lõi ở r (02 mục A), cộng (tiền − quỹ) × (1 − k) và dự án</t>
  </si>
  <si>
    <t>Đối chiếu. EBITDA lõi × bội số (02), cộng (tiền − quỹ) × (1 − k) và dự án</t>
  </si>
  <si>
    <t>Phần ngoài tiền (lõi + hai dự án)</t>
  </si>
  <si>
    <t>GIÁ TRỊ CƠ SỞ (đồng/cổ phiếu)</t>
  </si>
  <si>
    <t>Gần một nửa giá cổ phiếu là tiền gửi — câu hỏi là tiền này về cổ đông hay vào dự án · Tính vào giá trị: (tiền − quỹ khen thưởng phúc lợi) × 90%, xem 03 dòng tiền trừ quỹ</t>
  </si>
  <si>
    <t>(giá trị cơ sở − giá) ÷ (giá trị cơ sở − tiền): chỉ đo trên phần kinh doanh và dự án</t>
  </si>
  <si>
    <t>Giá trị kịch bản</t>
  </si>
  <si>
    <t>ROIC trạng thái dừng</t>
  </si>
  <si>
    <t>Lợi nhuận trên vốn giữ được mãi sau năm 5 — quyết định phần lợi nhuận phải giữ lại để tăng trưởng g (= g ÷ ROIC). 17,1% (02 mục B)</t>
  </si>
  <si>
    <t>Lãi tăng thêm sau thuế NĂM ĐẦU chạy (tỷ)</t>
  </si>
  <si>
    <t>Lãi tăng thêm sau thuế khi chạy ĐẦY CÔNG SUẤT (tỷ)</t>
  </si>
  <si>
    <t>Năm chạy đầy công suất (lãi tăng đều từ năm có lãi đến năm này)</t>
  </si>
  <si>
    <t>Tăng trưởng lãi mỗi năm sau năm đầy công suất</t>
  </si>
  <si>
    <t>Cơ sở/Tốt: theo g dài hạn ở 02 (lãi danh nghĩa tăng theo lạm phát, lợi suất 12,4% đã gồm lạm phát). Xấu: 0% (đứng yên như bản trước). Mô hình chạy năm 2027–2060 rồi vĩnh viễn với tỷ lệ này (03 mục B3).</t>
  </si>
  <si>
    <t>B3. LỘ TRÌNH LÃI TĂNG THÊM NHÀ MÁY (tỷ/năm, trước quỹ) — tăng đều từ năm có lãi đến năm đầy công suất, sau đó tăng theo tỷ lệ ở 06 dòng 25</t>
  </si>
  <si>
    <t>Nhà máy: lãi khi đầy công suất</t>
  </si>
  <si>
    <t>Nhà máy: năm đầy công suất</t>
  </si>
  <si>
    <t>Nhà máy: tăng lãi sau năm đầy công suất</t>
  </si>
  <si>
    <t>Năm → lãi tăng thêm (tỷ)</t>
  </si>
  <si>
    <t>Chọn</t>
  </si>
  <si>
    <t>Năm → trọng số theo lãi đầy công suất (dùng cho hòa vốn)</t>
  </si>
  <si>
    <t>Nhà máy: giá trị phần đuôi tại cuối 2031 (2032–2060 + vĩnh viễn sau 2060), sau quỹ</t>
  </si>
  <si>
    <t>Hệ số: thêm 1 tỷ lãi ĐẦY CÔNG SUẤT → thêm bao nhiêu tỷ giá trị nhà máy</t>
  </si>
  <si>
    <t>Nhà máy: lãi tăng thêm sau thuế năm đầu chạy</t>
  </si>
  <si>
    <t xml:space="preserve">   lãi tăng thêm ĐẦY CÔNG SUẤT ÷ vốn</t>
  </si>
  <si>
    <t>Nhà máy: giá trị phần đuôi tại cuối 2031 theo lộ trình (mục B3)</t>
  </si>
  <si>
    <t>GIÁ TRỊ RÒNG NHÀ MÁY (lộ trình tăng dần, vĩnh viễn)</t>
  </si>
  <si>
    <t>Hệ số: thêm 1 tỷ lãi đầy công suất nhà máy → thêm bao nhiêu tỷ giá trị</t>
  </si>
  <si>
    <t>HÒA VỐN: lãi tăng thêm ĐẦY CÔNG SUẤT để giá trị ròng nhà máy = 0 (tỷ/năm)</t>
  </si>
  <si>
    <t>Vùng nguyên liệu: tổng đàn bò 09/2019</t>
  </si>
  <si>
    <t>con</t>
  </si>
  <si>
    <t>mcmilk.com.vn: 3 trang trại + gần 600 nông hộ, sản lượng gần 100 nghìn tấn sữa/năm</t>
  </si>
  <si>
    <t xml:space="preserve">   tổng đàn bò ~2023</t>
  </si>
  <si>
    <t>Báo Sơn La: 1 trang trại tập trung + 510 hộ liên kết, 'hơn 27.000 con', gần 100 nghìn tấn/năm</t>
  </si>
  <si>
    <t xml:space="preserve">   tổng đàn bò cuối 2025</t>
  </si>
  <si>
    <t>Số hộ giảm ~600 → ~500 (2019–2025) nhưng đàn bò đi ngang 25–27 nghìn con: hộ nhỏ rút, hộ lớn mở rộng. 2025 là DƯ sữa (dòng 125), không thiếu</t>
  </si>
  <si>
    <t xml:space="preserve">   số hộ có bò được chấm hội thi 2026</t>
  </si>
  <si>
    <t>hộ</t>
  </si>
  <si>
    <t>VnExpress: hơn 10.000 con tại 455 hộ được chấm; có thể không phải toàn bộ số hộ liên kết</t>
  </si>
  <si>
    <t>Tăng trưởng phù hợp với sản lượng hiện tại (Tổng Giám đốc)</t>
  </si>
  <si>
    <t>5–7%</t>
  </si>
  <si>
    <t>/năm</t>
  </si>
  <si>
    <t>Căn cứ năm đầy công suất nhà máy mới (06 dòng 24): GĐ1 ~500 tấn/ngày đang chạy ~59% nếu dồn sữa hiện có; bán thêm 5–7%/năm → đầy ~2035–2038</t>
  </si>
  <si>
    <t>MCM — GIẢ ĐỊNH (bản 15/10/2026: ba kịch bản, không xác suất)</t>
  </si>
  <si>
    <t>MCM — ĐỊNH GIÁ: DCF LÕI + TIỀN + DỰ ÁN (BỐN PHƯƠNG PHÁP ĐỐI CHIẾU), BA KỊCH BẢN, MƯỜI SÁU CỘT PHÉP THỬ (bản 15/10/2026)</t>
  </si>
  <si>
    <t>MCM — HAI DỰ ÁN MỚI: TRANG TRẠI 4.000 CON (CÓ DU LỊCH) VÀ NHÀ MÁY SỮA (bản 15/10/2026)</t>
  </si>
  <si>
    <t>2. Chi phí mỗi lít ở trại tập trung (10.500 cả ba kịch bản, 04 bảng 5); lãi du lịch; lãi tăng thêm của nhà máy (tăng dần 45 → 90 tỷ, đầy công suất 2038) — tự đặt (06).</t>
  </si>
  <si>
    <t>Hiện giá dòng tiền dự án (2027–2031 + đuôi: trang trại 20 năm đều, nhà máy tăng dần tới năm đầy công suất rồi vĩnh viễn) − hiện giá vốn CÒN phải chi, ở lợi suất dự án (phần đã chi là chi phí chìm)</t>
  </si>
  <si>
    <t>Dữ kiện dự án ở 01 mục G. Sheet này: giả định theo ba kịch bản (nền xanh lá), kết quả đọc từ 03 (tính lại đủ ở mọi cột phép thử), mức hòa vốn, việc theo dõi mỗi quý và những gì phải hỏi công ty. Giá trị dự án = dòng tiền 2027–2031 + đuôi sau 2031 (trang trại 20 năm đều; nhà máy tăng dần tới năm đầy công suất rồi vĩnh viễn, 03 mục B3), chiết khấu ở lợi suất dự án (02 mục A). Phần đã chi là chi phí chìm.</t>
  </si>
  <si>
    <t>HÒA VỐN: lãi KHI ĐẦY CÔNG SUẤT của nhà máy để giá trị ròng nhà máy = 0 (tỷ/năm)</t>
  </si>
  <si>
    <t>Sau 2031: trang trại dòng tiền đều thêm 20 năm; nhà máy tăng dần tới năm đầy công suất (dòng 23–24) rồi tăng theo dòng 25 vĩnh viễn — 03 mục B2, B3</t>
  </si>
  <si>
    <t>3. Giá bán, chi phí mỗi lít của trang trại và lãi du lịch, lãi tăng thêm của nhà máy là TỰ ĐẶT: công ty không công bố (06 mục F). Trang trại chi nốt dồn vào 2027; sau 2031 trang trại thêm 20 năm dòng tiền đều rồi dừng; nhà máy lãi tăng dần tới năm đầy công suất rồi vĩnh viễn (06 dòng 22–25).</t>
  </si>
  <si>
    <t>4. Lợi nhuận lõi coi nhà máy cũ chạy mãi; phần nhà máy mới thay nhà máy cũ nằm trong lãi tăng thêm (năm đầu thấp, tăng dần khi lấp công suất), không mô hình riêng chi phí sửa chữa nhà máy cũ. Sữa trại mới có giành chỗ sữa nông hộ (đang dư) hay không — không mô hình; nguồn sữa nông hộ đi ngang (01 dòng 125–129), giới hạn là sức bán.</t>
  </si>
  <si>
    <t xml:space="preserve">   lãi khi đầy công suất ÷ vốn</t>
  </si>
  <si>
    <t>Bản 15/10/2026 · giá phiên 13/10/2026 · mỗi kịch bản = DCF lõi + (tiền − quỹ) × (1 − k) + dự án · không gán xác suất, giá trị hợp lý = kịch bản cơ sở</t>
  </si>
  <si>
    <t>Con số trung tâm, không gán xác suất</t>
  </si>
  <si>
    <t>2. BIỂU ĐỒ — giá trị từng phương pháp (kịch bản cơ sở) so với giá</t>
  </si>
  <si>
    <t>3. NHỮNG CON SỐ PHẢI NHỚ TRƯỚC KHI NHÌN MCM</t>
  </si>
  <si>
    <t>Thấp hơn r = thị trường trả đắt hơn lợi suất yêu cầu (05 mục B)</t>
  </si>
  <si>
    <t>4. TIỀN ĐI ĐÂU 2027–2031 — kịch bản cơ sở (tỷ đồng, 03 mục D)</t>
  </si>
  <si>
    <t>5. CHƯA CÓ SỐ CÔNG BỐ — câu hỏi còn mở ở 06 mục F</t>
  </si>
  <si>
    <t>1. Giá bán sữa nguyên liệu cho Vinamilk và giá thu mua nông hộ không công bố — mV 10% là ước của người viết (12/10/2026), giá sữa trang trại là tự đặt.</t>
  </si>
  <si>
    <t>6. MỤC LỤC — bấm tên sheet để đi tới</t>
  </si>
  <si>
    <t>Bội số, giá đang ngầm định gì (cả lợi suất), hai đường tới ROE, nhóm so sánh, file QNS, mốc Q3</t>
  </si>
  <si>
    <t>7. CHÚ GIẢI THUẬT NGỮ</t>
  </si>
  <si>
    <t>Mỗi kịch bản = DCF lõi + (tiền ròng − quỹ) × (1 − k) + giá trị ròng dự án. Không gán xác suất</t>
  </si>
  <si>
    <t>GEN_IS_021. Cột H lấy năm 2025 kiểm toán làm gốc: cộng thẳng bốn quý 2025 trong DB thiếu 2,8 tỷ lãi gộp so BCTC năm</t>
  </si>
  <si>
    <t>A. THAM SỐ CHUNG — lợi suất yêu cầu, thuế lãi tiền gửi, trọng số, chiết khấu tiền</t>
  </si>
  <si>
    <t>Khung chung của người viết. Trái phiếu Chính phủ 10 năm trúng thầu 4,43% đầu tháng 10/2026 — trong ngưỡng ±0,5 điểm, chưa đổi</t>
  </si>
  <si>
    <t>Chốt 12/10/2026: dùng như VNDirect, VDSC. VNDirect BSR 17/08/2026: 9,2% (Rf 4,3%); VDSC GDA 07/04/2026: 10% (mức cho doanh nghiệp chu kỳ → cận trên, phép thử T5); Kafi PVS 9,63%; MBS VCB 8,5%; KBSV MCM 8% (β 1 → 12%). Damodaran 07/2026 cho Việt Nam 7,92% (4,20% + rủi ro quốc gia 3,72%)</t>
  </si>
  <si>
    <t>Chốt 12/10/2026. VNM: Blume 0,644 (thô tuần 5 năm 0,469) ÷ (1 − tiền ròng bình quân 5 năm 11%) = 0,72. MCM tự tính, bỏ tiền TỪNG TUẦN (tiền bình quân 40% vốn hóa): 0,70 (tuần 5 năm, CI 0,50–0,91), 0,76 (tuần 2 năm); Dimson trễ 1 tuần −0,03 → ít giao dịch không làm méo. Phép thử T6 (0,85), T14 (0,65)</t>
  </si>
  <si>
    <t>Không vay nên r cũng là chi phí vốn của DCF.</t>
  </si>
  <si>
    <t>TỰ ĐẶT. TM 17 BCTC 2025 chỉ ghi vay Vietcombank, VietinBank 4–6 tháng lãi cố định, KHÔNG ghi mức lãi</t>
  </si>
  <si>
    <t>MCM tạm ứng 1.000đ vào tháng 11 các năm 2022–2025; đợt 2026 CHƯA công bố. Cộng vào phương pháp 3</t>
  </si>
  <si>
    <t>Niêm yết 6–7,5% (12 tháng, 10/2026); khoản trên 200 triệu thường được cộng thêm 2–2,5% ngoài biểu — không có số công khai. Dùng để so lợi suất kỳ vọng ở 05 mục B</t>
  </si>
  <si>
    <t>Trọng số phương pháp — Chốt 13/10/2026: chỉ DCF (phương pháp 2) làm giá trị, bốn phương pháp còn lại để đối chiếu (trước: 30/25/20/15/10)</t>
  </si>
  <si>
    <t>Chốt 13/10/2026: giá trị = DCF phần lõi + (tiền ròng − quỹ khen thưởng phúc lợi) × (1 − k) + giá trị ròng dự án. k là phần tiền cổ đông thiểu số có thể không nhận đủ: Vinamilk nắm 68% quyết định chia hay giữ, tiền nằm ở công ty chỉ lãi ~5% sau thuế và quỹ. Mỗi 10 điểm k ≈ 1.250 đ/cp. Áp cho phương pháp 1, 2, 5 (cùng cộng tiền); 04 bảng 4 có k = 0% và 20%. Trừ quỹ từ 14/10/2026: tiền đã trích cho người lao động, không thuộc cổ đông (01 mục D).</t>
  </si>
  <si>
    <t>Ước của người viết (12/10/2026): khoảng 10% (bản trước dùng 5%, xem phép thử T15). Công ty không công bố giá bán cho Vinamilk; BCTC 2025 TM 25–26 chỉ tách thành phẩm/hàng hóa, sữa nguyên liệu nằm trong thành phẩm (biên 29,3%); CSDL gen_notes không có. Chỉ ảnh hưởng khi cơ cấu V/B đổi so 12 tháng (biên B hiệu chỉnh lại theo mV). Độ nhạy: 04 bảng 4 dòng T15 (mV 5%).</t>
  </si>
  <si>
    <t>Dùng chung: lợi nhuận đã khác nhau theo kịch bản, hạ bội số nữa là phạt hai lần. Mốc = P/E trung vị cả công ty (gồm lãi tiền gửi). 10,8x = bội số Vinasoy file QNS (9x EBIT) quy về lợi nhuận lõi sau thuế, quỹ; ≈ P/E cơ bản ở r mới (05 mục A). Phép thử T11 (10x)</t>
  </si>
  <si>
    <t>Mốc = lãi tiền gửi 2025 ÷ số dư bình quân. Lãi 12 tháng niêm yết 10/2026: 6–7,5%; khoản lớn được cộng thêm → cơ sở 7%</t>
  </si>
  <si>
    <t>XÁC SUẤT — KHÔNG DÙNG</t>
  </si>
  <si>
    <t>Biên gộp bán cho Vinamilk 5% thay cho 10% (cơ sở). Biên gộp B 12 tháng tính lại theo ô này để EBIT 12 tháng vẫn khớp</t>
  </si>
  <si>
    <t>Âm = phần còn phải chi sinh lời dưới lợi suất dự án. Không có "tăng g mãi mãi"</t>
  </si>
  <si>
    <t>Dự án tách riêng khỏi phần lõi</t>
  </si>
  <si>
    <t>Người mua hôm nay vẫn nhận đợt này. Chưa công bố chính thức — 02 mục A</t>
  </si>
  <si>
    <t>T15 · Biên gộp bán cho Vinamilk 5%</t>
  </si>
  <si>
    <t>Cơ sở dùng 10% (ước của người viết 12/10/2026)</t>
  </si>
  <si>
    <t>Chỉ trang trại đổi; lõi, tiền, nhà máy giữ nguyên. Dòng 10.500 = giả định cả ba kịch bản. Mỗi +100 đ/lít ≈ −2 tỷ lãi trước khấu hao/năm. Nền cam = thấp hơn giá hiện tại.</t>
  </si>
  <si>
    <t>A. BỘI SỐ TẠI GIÁ THỊ TRƯỜNG VÀ TẠI GIÁ TRỊ CƠ SỞ</t>
  </si>
  <si>
    <t>Âm = thấp hơn lãi gửi tham chiếu (02 mục A)</t>
  </si>
  <si>
    <t>G. GIỚI HẠN MÔ HÌNH</t>
  </si>
  <si>
    <t>1. Biên gộp của phần bán cho Vinamilk (mV) 10% là ước của người viết (12/10/2026), không có nguồn công bố (bản trước dùng 5%; hồi quy 3 năm cho số âm). Đổi mV chỉ dịch biên của B; EBIT 12 tháng vẫn khớp. mV 5%: 04 bảng 4 dòng T15.</t>
  </si>
  <si>
    <t>Chốt 13/10/2026: giữ 336 tỷ cả ba kịch bản = 1.120 × 30% như phương án 2022 — chưa có nghị quyết thu nhỏ du lịch. Bản trước: cơ sở 150, tốt 100 (tự đặt theo lời chủ tịch ĐHĐCĐ 20/04/2026). Lãi du lịch B15:D15 giữ nguyên.</t>
  </si>
  <si>
    <t>Chốt 14/10/2026: 10.500 cả ba kịch bản — giá sữa và chi phí thức ăn thường đi cùng chiều (2024 thức ăn tăng thì giá thu mua sữa tăng 7–8%), nên không cộng dồn giá thấp + chi phí cao (bản 12/10: 11.500 / 10.500 / 9.500). Rủi ro chi phí: 04 bảng 5. TỰ ĐẶT — công ty không công bố. Mốc duy nhất: chi phí sản xuất sữa Việt Nam 9.500–10.000 đ/lít (IPSARD 2019, cũ). Ngô, khô đậu +21–25% so cùng kỳ (09/2026)</t>
  </si>
  <si>
    <t>Xấu (Chốt 13/10/2026): VẪN XÂY nhưng muộn — mặt bằng kẹt thêm (82%, hộ nhà kiên cố chưa chịu đền bù), chạy 2032, vốn vượt 850 tỷ, lãi thêm 20 tỷ/năm. Không xây mà nhà máy cũ chạy mãi là tự mâu thuẫn (hết đất, xuống cấp) — giờ chỉ còn ở phép thử T1</t>
  </si>
  <si>
    <t>Chốt 12/10/2026: cơ sở chạy đầu 2030 — theo lời chủ tịch ĐHĐCĐ 20/04/2026 ("2,3 năm tới vẫn đáp ứng") và tiến độ thực (tiền chi cho nhà máy 6 tháng chỉ +0,5 tỷ). Xấu: 2032. Tốt: 2030 (Chốt 15/10/2026, thay Q4/2027 cũ — Tốt khác cơ sở ở mức lãi và tốc độ lấp đầy, không ở tiến độ).</t>
  </si>
  <si>
    <t>TỰ ĐẶT (Chốt 15/10/2026: lãi TĂNG DẦN, không đứng yên mãi). Năm đầu thấp vì nhà máy mới (~500 tấn/ngày GĐ1) dư công suất so với nhà máy cũ 200 tấn/ngày; phần lớn là THAY nhà máy cũ (hết đất, xuống cấp) + chi phí sửa chữa tránh được. Tốt hạ 75 → 45 năm đầu (tăng nhờ dòng 23).</t>
  </si>
  <si>
    <t>TỰ ĐẶT (Chốt 15/10/2026). Cơ sở 90 ≈ 10,9% vốn sau quỹ (dưới lợi suất 12,4% — dự án thay thế bắt buộc); Tốt 110 ≈ 13,3% (dưới ROIC lõi 17,1%); Xấu 20 đứng yên. NGUỒN LÃI: sữa đầu vào đi ngang (đàn ~26 nghìn con 2019–2025, 01 dòng 126–129), nên lãi tăng thêm KHÔNG đến từ sữa mới mà từ (1) chuyển dần ~120 tấn/ngày sữa đang bán thô cho Vinamilk sang tự chế biến Creamery, (2) tiết kiệm chi phí so nhà máy cũ xuống cấp. Creamery không cạnh tranh VNM: kỳ vọng 50–60% doanh thu, được đưa vào cửa hàng Vinamilk (VietnamBiz 20/04/2026).</t>
  </si>
  <si>
    <t>TỰ ĐẶT (Chốt 15/10/2026). Thời gian chuyển sữa bán thô sang Creamery + đạt hiệu suất nhà máy mới: ~8 năm → cơ sở 2038; Tốt 2035 (TGĐ: tăng 5–7%/năm phù hợp sản lượng hiện có). 'Đầy công suất' = LÃI đạt mức ổn định, không phải chạy đủ 500 tấn/ngày (nguồn sữa ~240–300 tấn/ngày). Xấu = năm có lãi (không có lộ trình).</t>
  </si>
  <si>
    <t>F. CÒN THIẾU — chỉ công ty trả lời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</si>
</sst>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_);\(#,##0.000\)"/>
    <numFmt numFmtId="165" formatCode="#,##0.0_);\(#,##0.0\);&quot;–&quot;_)"/>
    <numFmt numFmtId="166" formatCode="#,##0_);\(#,##0\);&quot;–&quot;_)"/>
    <numFmt numFmtId="167" formatCode="0.00_);\(0.00\)"/>
    <numFmt numFmtId="168" formatCode="0.0%_);\(0.0%\)"/>
    <numFmt numFmtId="169" formatCode="0%_);\(0%\)"/>
    <numFmt numFmtId="170" formatCode="0.00&quot;x&quot;_);\(0.00&quot;x&quot;\)"/>
    <numFmt numFmtId="171" formatCode="0.0&quot;x&quot;_);\(0.0&quot;x&quot;\)"/>
    <numFmt numFmtId="172" formatCode="0.0%"/>
    <numFmt numFmtId="173" formatCode="0.0"/>
    <numFmt numFmtId="174" formatCode="#,##0.0;\(#,##0.0\);\-"/>
    <numFmt numFmtId="175" formatCode="0.00;\(0.00\);\-"/>
  </numFmts>
  <fonts count="21" x14ac:knownFonts="1">
    <font>
      <sz val="11"/>
      <color theme="1"/>
      <name val="Calibri"/>
      <family val="2"/>
      <scheme val="minor"/>
    </font>
    <font>
      <b/>
      <sz val="14"/>
      <name val="Calibri"/>
    </font>
    <font>
      <i/>
      <sz val="9"/>
      <color rgb="FF595959"/>
      <name val="Calibri"/>
    </font>
    <font>
      <b/>
      <sz val="11"/>
      <color rgb="FFFFFFFF"/>
      <name val="Calibri"/>
    </font>
    <font>
      <b/>
      <sz val="11"/>
      <name val="Calibri"/>
    </font>
    <font>
      <sz val="11"/>
      <color rgb="FF0000FF"/>
      <name val="Calibri"/>
    </font>
    <font>
      <sz val="11"/>
      <color rgb="FF00703C"/>
      <name val="Calibri"/>
    </font>
    <font>
      <b/>
      <sz val="11"/>
      <color rgb="FF00703C"/>
      <name val="Calibri"/>
    </font>
    <font>
      <b/>
      <sz val="12"/>
      <name val="Calibri"/>
    </font>
    <font>
      <b/>
      <sz val="11"/>
      <color rgb="FF1F3864"/>
      <name val="Calibri"/>
    </font>
    <font>
      <b/>
      <sz val="12"/>
      <color rgb="FF00703C"/>
      <name val="Calibri"/>
    </font>
    <font>
      <u/>
      <sz val="11"/>
      <color rgb="FF0563C1"/>
      <name val="Calibri"/>
    </font>
    <font>
      <b/>
      <sz val="12"/>
      <color rgb="FF1F3864"/>
      <name val="Calibri"/>
    </font>
    <font>
      <b/>
      <sz val="9"/>
      <color rgb="FF595959"/>
      <name val="Calibri"/>
    </font>
    <font>
      <b/>
      <sz val="16"/>
      <color rgb="FF1F3864"/>
      <name val="Calibri"/>
    </font>
    <font>
      <i/>
      <sz val="8"/>
      <color rgb="FF595959"/>
      <name val="Calibri"/>
    </font>
    <font>
      <b/>
      <sz val="11"/>
      <color theme="1"/>
      <name val="Calibri"/>
      <family val="2"/>
      <scheme val="minor"/>
    </font>
    <font>
      <sz val="11"/>
      <color rgb="FF008000"/>
      <name val="Calibri"/>
    </font>
    <font>
      <sz val="11"/>
      <color rgb="FF008000"/>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2CC"/>
      </patternFill>
    </fill>
    <fill>
      <patternFill patternType="solid">
        <fgColor rgb="FFF2F2F2"/>
      </patternFill>
    </fill>
    <fill>
      <patternFill patternType="solid">
        <fgColor rgb="FFD9E1F2"/>
        <bgColor indexed="64"/>
      </patternFill>
    </fill>
  </fills>
  <borders count="6">
    <border>
      <left/>
      <right/>
      <top/>
      <bottom/>
      <diagonal/>
    </border>
    <border>
      <left/>
      <right/>
      <top/>
      <bottom style="thin">
        <color rgb="FF1F3864"/>
      </bottom>
      <diagonal/>
    </border>
    <border>
      <left/>
      <right/>
      <top style="thin">
        <color rgb="FFA6A6A6"/>
      </top>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s>
  <cellStyleXfs count="1">
    <xf numFmtId="0" fontId="0" fillId="0" borderId="0"/>
  </cellStyleXfs>
  <cellXfs count="117">
    <xf numFmtId="0" fontId="0" fillId="0" borderId="0" xfId="0"/>
    <xf numFmtId="0" fontId="1" fillId="0" borderId="0" xfId="0" applyFont="1" applyAlignment="1">
      <alignment vertical="center"/>
    </xf>
    <xf numFmtId="0" fontId="9" fillId="0" borderId="0" xfId="0" applyFont="1" applyAlignment="1">
      <alignment vertical="center"/>
    </xf>
    <xf numFmtId="0" fontId="2" fillId="0" borderId="0" xfId="0" applyFont="1" applyAlignment="1">
      <alignment vertical="top"/>
    </xf>
    <xf numFmtId="0" fontId="12" fillId="0" borderId="0" xfId="0" applyFont="1" applyAlignment="1">
      <alignment vertical="center"/>
    </xf>
    <xf numFmtId="0" fontId="13" fillId="6" borderId="3" xfId="0" applyFont="1" applyFill="1" applyBorder="1" applyAlignment="1">
      <alignment horizontal="center" vertical="center" wrapText="1"/>
    </xf>
    <xf numFmtId="166" fontId="14" fillId="6" borderId="4" xfId="0" applyNumberFormat="1" applyFont="1" applyFill="1" applyBorder="1" applyAlignment="1">
      <alignment horizontal="center" vertical="center" wrapText="1"/>
    </xf>
    <xf numFmtId="168" fontId="14" fillId="6" borderId="4" xfId="0" applyNumberFormat="1" applyFont="1" applyFill="1" applyBorder="1" applyAlignment="1">
      <alignment horizontal="center" vertical="center" wrapText="1"/>
    </xf>
    <xf numFmtId="0" fontId="15" fillId="6" borderId="5" xfId="0" applyFont="1" applyFill="1" applyBorder="1" applyAlignment="1">
      <alignment horizontal="center" vertical="center" wrapText="1"/>
    </xf>
    <xf numFmtId="0" fontId="4" fillId="0" borderId="0" xfId="0" applyFont="1" applyAlignment="1">
      <alignment vertical="center"/>
    </xf>
    <xf numFmtId="0" fontId="7" fillId="0" borderId="0" xfId="0" applyFont="1" applyAlignment="1">
      <alignment vertical="center"/>
    </xf>
    <xf numFmtId="0" fontId="3" fillId="2" borderId="0" xfId="0" applyFont="1" applyFill="1" applyAlignment="1">
      <alignment vertical="center"/>
    </xf>
    <xf numFmtId="0" fontId="3" fillId="2" borderId="0" xfId="0" applyFont="1" applyFill="1"/>
    <xf numFmtId="0" fontId="4" fillId="3" borderId="1" xfId="0" applyFont="1" applyFill="1" applyBorder="1" applyAlignment="1">
      <alignment vertical="center" wrapText="1"/>
    </xf>
    <xf numFmtId="0" fontId="0" fillId="0" borderId="0" xfId="0" applyAlignment="1">
      <alignment vertical="center"/>
    </xf>
    <xf numFmtId="166" fontId="6" fillId="0" borderId="0" xfId="0" applyNumberFormat="1" applyFont="1" applyAlignment="1">
      <alignment vertical="center"/>
    </xf>
    <xf numFmtId="169" fontId="6" fillId="0" borderId="0" xfId="0" applyNumberFormat="1" applyFont="1" applyAlignment="1">
      <alignment vertical="center"/>
    </xf>
    <xf numFmtId="0" fontId="2" fillId="0" borderId="0" xfId="0" applyFont="1" applyAlignment="1">
      <alignment vertical="center"/>
    </xf>
    <xf numFmtId="166" fontId="7" fillId="5" borderId="2" xfId="0" applyNumberFormat="1" applyFont="1" applyFill="1" applyBorder="1" applyAlignment="1">
      <alignment vertical="center"/>
    </xf>
    <xf numFmtId="168" fontId="6" fillId="0" borderId="0" xfId="0" applyNumberFormat="1" applyFont="1" applyAlignment="1">
      <alignment vertical="center"/>
    </xf>
    <xf numFmtId="0" fontId="8" fillId="0" borderId="0" xfId="0" applyFont="1" applyAlignment="1">
      <alignment vertical="center"/>
    </xf>
    <xf numFmtId="166" fontId="10" fillId="5" borderId="0" xfId="0" applyNumberFormat="1" applyFont="1" applyFill="1" applyAlignment="1">
      <alignment vertical="center"/>
    </xf>
    <xf numFmtId="170" fontId="6" fillId="0" borderId="0" xfId="0" applyNumberFormat="1" applyFont="1" applyAlignment="1">
      <alignment vertical="center"/>
    </xf>
    <xf numFmtId="166" fontId="7" fillId="5" borderId="0" xfId="0" applyNumberFormat="1" applyFont="1" applyFill="1" applyAlignment="1">
      <alignment vertical="center"/>
    </xf>
    <xf numFmtId="165" fontId="7" fillId="5" borderId="0" xfId="0" applyNumberFormat="1" applyFont="1" applyFill="1" applyAlignment="1">
      <alignment vertical="center"/>
    </xf>
    <xf numFmtId="168" fontId="7" fillId="5" borderId="0" xfId="0" applyNumberFormat="1" applyFont="1" applyFill="1" applyAlignment="1">
      <alignment vertical="center"/>
    </xf>
    <xf numFmtId="0" fontId="4" fillId="3" borderId="1" xfId="0" applyFont="1" applyFill="1" applyBorder="1" applyAlignment="1">
      <alignment horizontal="right" vertical="center" wrapText="1"/>
    </xf>
    <xf numFmtId="165" fontId="6" fillId="0" borderId="0" xfId="0" applyNumberFormat="1" applyFont="1" applyAlignment="1">
      <alignment vertical="center"/>
    </xf>
    <xf numFmtId="0" fontId="11" fillId="0" borderId="0" xfId="0" applyFont="1" applyAlignment="1">
      <alignment vertical="center"/>
    </xf>
    <xf numFmtId="166" fontId="0" fillId="0" borderId="0" xfId="0" applyNumberFormat="1" applyAlignment="1">
      <alignment vertical="center"/>
    </xf>
    <xf numFmtId="164" fontId="5" fillId="4" borderId="0" xfId="0" applyNumberFormat="1" applyFont="1" applyFill="1" applyAlignment="1">
      <alignment vertical="center"/>
    </xf>
    <xf numFmtId="164" fontId="4" fillId="5" borderId="0" xfId="0" applyNumberFormat="1" applyFont="1" applyFill="1" applyAlignment="1">
      <alignment vertical="center"/>
    </xf>
    <xf numFmtId="165" fontId="5" fillId="4" borderId="0" xfId="0" applyNumberFormat="1" applyFont="1" applyFill="1" applyAlignment="1">
      <alignment vertical="center"/>
    </xf>
    <xf numFmtId="164" fontId="0" fillId="5" borderId="0" xfId="0" applyNumberFormat="1" applyFill="1" applyAlignment="1">
      <alignment vertical="center"/>
    </xf>
    <xf numFmtId="166" fontId="5" fillId="4" borderId="0" xfId="0" applyNumberFormat="1" applyFont="1" applyFill="1" applyAlignment="1">
      <alignment vertical="center"/>
    </xf>
    <xf numFmtId="0" fontId="5" fillId="4" borderId="0" xfId="0" applyFont="1" applyFill="1" applyAlignment="1">
      <alignment vertical="center"/>
    </xf>
    <xf numFmtId="165" fontId="0" fillId="5" borderId="0" xfId="0" applyNumberFormat="1" applyFill="1" applyAlignment="1">
      <alignment vertical="center"/>
    </xf>
    <xf numFmtId="165" fontId="4" fillId="5" borderId="0" xfId="0" applyNumberFormat="1" applyFont="1" applyFill="1" applyAlignment="1">
      <alignment vertical="center"/>
    </xf>
    <xf numFmtId="0" fontId="2" fillId="0" borderId="0" xfId="0" applyFont="1" applyAlignment="1">
      <alignment vertical="center" wrapText="1"/>
    </xf>
    <xf numFmtId="167" fontId="0" fillId="5" borderId="0" xfId="0" applyNumberFormat="1" applyFill="1" applyAlignment="1">
      <alignment vertical="center"/>
    </xf>
    <xf numFmtId="168" fontId="0" fillId="5" borderId="0" xfId="0" applyNumberFormat="1" applyFill="1" applyAlignment="1">
      <alignment vertical="center"/>
    </xf>
    <xf numFmtId="169" fontId="0" fillId="5" borderId="0" xfId="0" applyNumberFormat="1" applyFill="1" applyAlignment="1">
      <alignment vertical="center"/>
    </xf>
    <xf numFmtId="166" fontId="4" fillId="5" borderId="0" xfId="0" applyNumberFormat="1" applyFont="1" applyFill="1" applyAlignment="1">
      <alignment vertical="center"/>
    </xf>
    <xf numFmtId="165" fontId="0" fillId="0" borderId="0" xfId="0" applyNumberFormat="1" applyAlignment="1">
      <alignment vertical="center"/>
    </xf>
    <xf numFmtId="168" fontId="4" fillId="5" borderId="0" xfId="0" applyNumberFormat="1" applyFont="1" applyFill="1" applyAlignment="1">
      <alignment vertical="center"/>
    </xf>
    <xf numFmtId="168" fontId="5" fillId="4" borderId="0" xfId="0" applyNumberFormat="1" applyFont="1" applyFill="1" applyAlignment="1">
      <alignment vertical="center"/>
    </xf>
    <xf numFmtId="170" fontId="5" fillId="4" borderId="0" xfId="0" applyNumberFormat="1" applyFont="1" applyFill="1" applyAlignment="1">
      <alignment vertical="center"/>
    </xf>
    <xf numFmtId="2" fontId="5" fillId="4" borderId="0" xfId="0" applyNumberFormat="1" applyFont="1" applyFill="1" applyAlignment="1">
      <alignment vertical="center"/>
    </xf>
    <xf numFmtId="169" fontId="5" fillId="4" borderId="0" xfId="0" applyNumberFormat="1" applyFont="1" applyFill="1" applyAlignment="1">
      <alignment vertical="center"/>
    </xf>
    <xf numFmtId="165" fontId="6" fillId="5" borderId="0" xfId="0" applyNumberFormat="1" applyFont="1" applyFill="1" applyAlignment="1">
      <alignment vertical="center"/>
    </xf>
    <xf numFmtId="168" fontId="6" fillId="5" borderId="0" xfId="0" applyNumberFormat="1" applyFont="1" applyFill="1" applyAlignment="1">
      <alignment vertical="center"/>
    </xf>
    <xf numFmtId="0" fontId="4" fillId="3" borderId="0" xfId="0" applyFont="1" applyFill="1" applyAlignment="1">
      <alignment vertical="center"/>
    </xf>
    <xf numFmtId="0" fontId="4" fillId="3" borderId="0" xfId="0" applyFont="1" applyFill="1"/>
    <xf numFmtId="171" fontId="5" fillId="4" borderId="0" xfId="0" applyNumberFormat="1" applyFont="1" applyFill="1" applyAlignment="1">
      <alignment vertical="center"/>
    </xf>
    <xf numFmtId="171" fontId="6" fillId="5" borderId="0" xfId="0" applyNumberFormat="1" applyFont="1" applyFill="1" applyAlignment="1">
      <alignment vertical="center"/>
    </xf>
    <xf numFmtId="166" fontId="6" fillId="5" borderId="0" xfId="0" applyNumberFormat="1" applyFont="1" applyFill="1" applyAlignment="1">
      <alignment vertical="center"/>
    </xf>
    <xf numFmtId="0" fontId="2" fillId="0" borderId="0" xfId="0" applyFont="1" applyAlignment="1">
      <alignment vertical="top" wrapText="1"/>
    </xf>
    <xf numFmtId="168" fontId="0" fillId="0" borderId="0" xfId="0" applyNumberFormat="1" applyAlignment="1">
      <alignment vertical="center"/>
    </xf>
    <xf numFmtId="171" fontId="6" fillId="0" borderId="0" xfId="0" applyNumberFormat="1" applyFont="1" applyAlignment="1">
      <alignment vertical="center"/>
    </xf>
    <xf numFmtId="171" fontId="0" fillId="0" borderId="0" xfId="0" applyNumberFormat="1" applyAlignment="1">
      <alignment vertical="center"/>
    </xf>
    <xf numFmtId="169" fontId="0" fillId="0" borderId="0" xfId="0" applyNumberFormat="1" applyAlignment="1">
      <alignment vertical="center"/>
    </xf>
    <xf numFmtId="1" fontId="6" fillId="0" borderId="0" xfId="0" applyNumberFormat="1" applyFont="1" applyAlignment="1">
      <alignment vertical="center"/>
    </xf>
    <xf numFmtId="1" fontId="0" fillId="0" borderId="0" xfId="0" applyNumberFormat="1" applyAlignment="1">
      <alignment vertical="center"/>
    </xf>
    <xf numFmtId="1" fontId="5" fillId="4" borderId="0" xfId="0" applyNumberFormat="1" applyFont="1" applyFill="1" applyAlignment="1">
      <alignment vertical="center"/>
    </xf>
    <xf numFmtId="2" fontId="6" fillId="0" borderId="0" xfId="0" applyNumberFormat="1" applyFont="1" applyAlignment="1">
      <alignment vertical="center"/>
    </xf>
    <xf numFmtId="2" fontId="0" fillId="0" borderId="0" xfId="0" applyNumberFormat="1" applyAlignment="1">
      <alignment vertical="center"/>
    </xf>
    <xf numFmtId="168" fontId="4" fillId="0" borderId="2" xfId="0" applyNumberFormat="1" applyFont="1" applyBorder="1" applyAlignment="1">
      <alignment vertical="center"/>
    </xf>
    <xf numFmtId="165" fontId="4" fillId="0" borderId="2" xfId="0" applyNumberFormat="1" applyFont="1" applyBorder="1" applyAlignment="1">
      <alignment vertical="center"/>
    </xf>
    <xf numFmtId="165" fontId="4" fillId="5" borderId="2" xfId="0" applyNumberFormat="1" applyFont="1" applyFill="1" applyBorder="1" applyAlignment="1">
      <alignment vertical="center"/>
    </xf>
    <xf numFmtId="167" fontId="0" fillId="0" borderId="0" xfId="0" applyNumberFormat="1" applyAlignment="1">
      <alignment vertical="center"/>
    </xf>
    <xf numFmtId="165" fontId="7" fillId="0" borderId="2" xfId="0" applyNumberFormat="1" applyFont="1" applyBorder="1" applyAlignment="1">
      <alignment vertical="center"/>
    </xf>
    <xf numFmtId="166" fontId="4" fillId="0" borderId="2" xfId="0" applyNumberFormat="1" applyFont="1" applyBorder="1" applyAlignment="1">
      <alignment vertical="center"/>
    </xf>
    <xf numFmtId="170" fontId="0" fillId="0" borderId="0" xfId="0" applyNumberFormat="1" applyAlignment="1">
      <alignment vertical="center"/>
    </xf>
    <xf numFmtId="166" fontId="4" fillId="5" borderId="2" xfId="0" applyNumberFormat="1" applyFont="1" applyFill="1" applyBorder="1" applyAlignment="1">
      <alignment vertical="center"/>
    </xf>
    <xf numFmtId="168" fontId="7" fillId="3" borderId="0" xfId="0" applyNumberFormat="1" applyFont="1" applyFill="1" applyAlignment="1">
      <alignment horizontal="center" vertical="center"/>
    </xf>
    <xf numFmtId="165" fontId="7" fillId="3" borderId="0" xfId="0" applyNumberFormat="1" applyFont="1" applyFill="1" applyAlignment="1">
      <alignment horizontal="center" vertical="center"/>
    </xf>
    <xf numFmtId="166" fontId="7" fillId="3" borderId="0" xfId="0" applyNumberFormat="1" applyFont="1" applyFill="1" applyAlignment="1">
      <alignment horizontal="center" vertical="center"/>
    </xf>
    <xf numFmtId="166" fontId="7" fillId="0" borderId="0" xfId="0" applyNumberFormat="1" applyFont="1" applyAlignment="1">
      <alignment vertical="center"/>
    </xf>
    <xf numFmtId="1" fontId="6" fillId="5" borderId="0" xfId="0" applyNumberFormat="1" applyFont="1" applyFill="1" applyAlignment="1">
      <alignment vertical="center"/>
    </xf>
    <xf numFmtId="2" fontId="6" fillId="5" borderId="0" xfId="0" applyNumberFormat="1" applyFont="1" applyFill="1" applyAlignment="1">
      <alignment vertical="center"/>
    </xf>
    <xf numFmtId="0" fontId="3" fillId="2" borderId="0" xfId="0" applyFont="1" applyFill="1" applyAlignment="1">
      <alignment vertical="top"/>
    </xf>
    <xf numFmtId="170" fontId="7" fillId="0" borderId="0" xfId="0" applyNumberFormat="1" applyFont="1" applyAlignment="1">
      <alignment vertical="center"/>
    </xf>
    <xf numFmtId="168" fontId="7" fillId="0" borderId="0" xfId="0" applyNumberFormat="1" applyFont="1" applyAlignment="1">
      <alignment vertical="center"/>
    </xf>
    <xf numFmtId="170" fontId="7" fillId="5" borderId="0" xfId="0" applyNumberFormat="1" applyFont="1" applyFill="1" applyAlignment="1">
      <alignment vertical="center"/>
    </xf>
    <xf numFmtId="167" fontId="7" fillId="5" borderId="0" xfId="0" applyNumberFormat="1" applyFont="1" applyFill="1" applyAlignment="1">
      <alignment vertical="center"/>
    </xf>
    <xf numFmtId="167" fontId="4" fillId="5" borderId="0" xfId="0" applyNumberFormat="1" applyFont="1" applyFill="1" applyAlignment="1">
      <alignment vertical="center"/>
    </xf>
    <xf numFmtId="170" fontId="4" fillId="5" borderId="0" xfId="0" applyNumberFormat="1" applyFont="1" applyFill="1" applyAlignment="1">
      <alignment vertical="center"/>
    </xf>
    <xf numFmtId="165" fontId="5" fillId="4" borderId="0" xfId="0" applyNumberFormat="1" applyFont="1" applyFill="1"/>
    <xf numFmtId="165" fontId="7" fillId="0" borderId="0" xfId="0" applyNumberFormat="1" applyFont="1" applyAlignment="1">
      <alignment vertical="center"/>
    </xf>
    <xf numFmtId="0" fontId="5" fillId="4" borderId="0" xfId="0" quotePrefix="1" applyFont="1" applyFill="1" applyAlignment="1">
      <alignment vertical="center"/>
    </xf>
    <xf numFmtId="172" fontId="5" fillId="4" borderId="0" xfId="0" applyNumberFormat="1" applyFont="1" applyFill="1" applyAlignment="1">
      <alignment vertical="center"/>
    </xf>
    <xf numFmtId="172" fontId="0" fillId="0" borderId="0" xfId="0" applyNumberFormat="1"/>
    <xf numFmtId="173" fontId="5" fillId="4" borderId="0" xfId="0" applyNumberFormat="1" applyFont="1" applyFill="1" applyAlignment="1">
      <alignment vertical="center"/>
    </xf>
    <xf numFmtId="172" fontId="4" fillId="5" borderId="0" xfId="0" applyNumberFormat="1" applyFont="1" applyFill="1" applyAlignment="1">
      <alignment vertical="center"/>
    </xf>
    <xf numFmtId="172" fontId="6" fillId="0" borderId="0" xfId="0" applyNumberFormat="1" applyFont="1" applyAlignment="1">
      <alignment vertical="center"/>
    </xf>
    <xf numFmtId="172" fontId="0" fillId="0" borderId="0" xfId="0" applyNumberFormat="1" applyAlignment="1">
      <alignment vertical="center"/>
    </xf>
    <xf numFmtId="173" fontId="6" fillId="0" borderId="0" xfId="0" applyNumberFormat="1" applyFont="1" applyAlignment="1">
      <alignment vertical="center"/>
    </xf>
    <xf numFmtId="173" fontId="0" fillId="0" borderId="0" xfId="0" applyNumberFormat="1"/>
    <xf numFmtId="173" fontId="0" fillId="0" borderId="0" xfId="0" applyNumberFormat="1" applyAlignment="1">
      <alignment vertical="center"/>
    </xf>
    <xf numFmtId="166" fontId="0" fillId="0" borderId="0" xfId="0" applyNumberFormat="1"/>
    <xf numFmtId="3" fontId="7" fillId="3" borderId="0" xfId="0" applyNumberFormat="1" applyFont="1" applyFill="1" applyAlignment="1">
      <alignment horizontal="center" vertical="center"/>
    </xf>
    <xf numFmtId="172" fontId="17" fillId="4" borderId="0" xfId="0" applyNumberFormat="1" applyFont="1" applyFill="1" applyAlignment="1">
      <alignment vertical="center"/>
    </xf>
    <xf numFmtId="1" fontId="0" fillId="0" borderId="0" xfId="0" applyNumberFormat="1"/>
    <xf numFmtId="0" fontId="18" fillId="0" borderId="0" xfId="0" applyFont="1"/>
    <xf numFmtId="1" fontId="18" fillId="0" borderId="0" xfId="0" applyNumberFormat="1" applyFont="1"/>
    <xf numFmtId="0" fontId="16" fillId="0" borderId="0" xfId="0" applyFont="1"/>
    <xf numFmtId="174" fontId="0" fillId="0" borderId="0" xfId="0" applyNumberFormat="1"/>
    <xf numFmtId="175" fontId="0" fillId="0" borderId="0" xfId="0" applyNumberFormat="1"/>
    <xf numFmtId="172" fontId="18" fillId="0" borderId="0" xfId="0" applyNumberFormat="1" applyFont="1"/>
    <xf numFmtId="3" fontId="5" fillId="4" borderId="0" xfId="0" applyNumberFormat="1" applyFont="1" applyFill="1" applyAlignment="1">
      <alignment vertical="center"/>
    </xf>
    <xf numFmtId="0" fontId="16" fillId="7" borderId="0" xfId="0" applyFont="1" applyFill="1" applyAlignment="1">
      <alignment vertical="center"/>
    </xf>
    <xf numFmtId="0" fontId="16" fillId="7" borderId="0" xfId="0" applyFont="1" applyFill="1"/>
    <xf numFmtId="1" fontId="0" fillId="0" borderId="0" xfId="0" applyNumberFormat="1" applyAlignment="1">
      <alignment horizontal="left" indent="1"/>
    </xf>
    <xf numFmtId="0" fontId="16" fillId="0" borderId="0" xfId="0" applyFont="1" applyAlignment="1">
      <alignment horizontal="right"/>
    </xf>
    <xf numFmtId="174" fontId="16" fillId="0" borderId="0" xfId="0" applyNumberFormat="1" applyFont="1" applyAlignment="1">
      <alignment horizontal="right"/>
    </xf>
    <xf numFmtId="0" fontId="0" fillId="0" borderId="0" xfId="0"/>
    <xf numFmtId="0" fontId="2" fillId="0" borderId="0" xfId="0" applyFont="1" applyAlignment="1">
      <alignment vertical="center" wrapText="1"/>
    </xf>
  </cellXfs>
  <cellStyles count="1">
    <cellStyle name="Normal" xfId="0" builtinId="0"/>
  </cellStyles>
  <dxfs count="11">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FCE4D6"/>
          <bgColor rgb="FFFCE4D6"/>
        </patternFill>
      </fill>
    </dxf>
    <dxf>
      <fill>
        <patternFill>
          <bgColor rgb="FFFCE4D6"/>
        </patternFill>
      </fill>
    </dxf>
    <dxf>
      <fill>
        <patternFill patternType="solid">
          <fgColor rgb="FFFCE4D6"/>
          <bgColor rgb="FFFCE4D6"/>
        </patternFill>
      </fill>
    </dxf>
    <dxf>
      <fill>
        <patternFill patternType="solid">
          <fgColor rgb="FFFCE4D6"/>
          <bgColor rgb="FFFCE4D6"/>
        </patternFill>
      </fill>
    </dxf>
    <dxf>
      <fill>
        <patternFill patternType="solid">
          <fgColor rgb="FFE2EFDA"/>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'00_Tổng hợp'!$A$190</c:f>
              <c:strCache>
                <c:ptCount val="1"/>
                <c:pt idx="0">
                  <c:v>Giá trị (cơ sở)</c:v>
                </c:pt>
              </c:strCache>
            </c:strRef>
          </c:tx>
          <c:spPr>
            <a:solidFill>
              <a:srgbClr val="9DC3E6"/>
            </a:solidFill>
            <a:ln>
              <a:noFill/>
              <a:prstDash val="solid"/>
            </a:ln>
          </c:spPr>
          <c:invertIfNegative val="0"/>
          <c:dLbls>
            <c:numFmt formatCode="#,##0" sourceLinked="0"/>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'00_Tổng hợp'!$B$189:$G$189</c:f>
              <c:strCache>
                <c:ptCount val="6"/>
                <c:pt idx="0">
                  <c:v>P/E lõi</c:v>
                </c:pt>
                <c:pt idx="1">
                  <c:v>DCF</c:v>
                </c:pt>
                <c:pt idx="2">
                  <c:v>Cổ tức</c:v>
                </c:pt>
                <c:pt idx="3">
                  <c:v>P/B-ROE</c:v>
                </c:pt>
                <c:pt idx="4">
                  <c:v>EV/EBITDA</c:v>
                </c:pt>
                <c:pt idx="5">
                  <c:v>Giá trị cơ sở</c:v>
                </c:pt>
              </c:strCache>
            </c:strRef>
          </c:cat>
          <c:val>
            <c:numRef>
              <c:f>'00_Tổng hợp'!$B$190:$G$190</c:f>
              <c:numCache>
                <c:formatCode>#,##0_);\(#,##0\);"–"_)</c:formatCode>
                <c:ptCount val="6"/>
                <c:pt idx="0">
                  <c:v>27130.765334580294</c:v>
                </c:pt>
                <c:pt idx="1">
                  <c:v>26693.756718942375</c:v>
                </c:pt>
                <c:pt idx="2">
                  <c:v>22496.248267500836</c:v>
                </c:pt>
                <c:pt idx="3">
                  <c:v>18858.334973027948</c:v>
                </c:pt>
                <c:pt idx="4">
                  <c:v>27001.288977248783</c:v>
                </c:pt>
                <c:pt idx="5">
                  <c:v>26693.756718942375</c:v>
                </c:pt>
              </c:numCache>
            </c:numRef>
          </c:val>
          <c:extLst>
            <c:ext xmlns:c16="http://schemas.microsoft.com/office/drawing/2014/chart" uri="{C3380CC4-5D6E-409C-BE32-E72D297353CC}">
              <c16:uniqueId val="{00000000-0907-43DF-A4D2-0F8B086434E9}"/>
            </c:ext>
          </c:extLst>
        </c:ser>
        <c:dLbls>
          <c:dLblPos val="ctr"/>
          <c:showLegendKey val="0"/>
          <c:showVal val="1"/>
          <c:showCatName val="0"/>
          <c:showSerName val="0"/>
          <c:showPercent val="0"/>
          <c:showBubbleSize val="0"/>
        </c:dLbls>
        <c:gapWidth val="60"/>
        <c:axId val="10"/>
        <c:axId val="100"/>
      </c:barChart>
      <c:lineChart>
        <c:grouping val="standard"/>
        <c:varyColors val="0"/>
        <c:ser>
          <c:idx val="1"/>
          <c:order val="1"/>
          <c:tx>
            <c:strRef>
              <c:f>'00_Tổng hợp'!$A$191</c:f>
              <c:strCache>
                <c:ptCount val="1"/>
                <c:pt idx="0">
                  <c:v>Giá thị trường</c:v>
                </c:pt>
              </c:strCache>
            </c:strRef>
          </c:tx>
          <c:spPr>
            <a:ln w="22000">
              <a:solidFill>
                <a:srgbClr val="404040"/>
              </a:solidFill>
              <a:prstDash val="dash"/>
            </a:ln>
          </c:spPr>
          <c:marker>
            <c:symbol val="none"/>
          </c:marker>
          <c:val>
            <c:numRef>
              <c:f>'00_Tổng hợp'!$B$191:$G$191</c:f>
              <c:numCache>
                <c:formatCode>#,##0_);\(#,##0\);"–"_)</c:formatCode>
                <c:ptCount val="6"/>
                <c:pt idx="0">
                  <c:v>26600</c:v>
                </c:pt>
                <c:pt idx="1">
                  <c:v>26600</c:v>
                </c:pt>
                <c:pt idx="2">
                  <c:v>26600</c:v>
                </c:pt>
                <c:pt idx="3">
                  <c:v>26600</c:v>
                </c:pt>
                <c:pt idx="4">
                  <c:v>26600</c:v>
                </c:pt>
                <c:pt idx="5">
                  <c:v>26600</c:v>
                </c:pt>
              </c:numCache>
            </c:numRef>
          </c:val>
          <c:smooth val="0"/>
          <c:extLst>
            <c:ext xmlns:c16="http://schemas.microsoft.com/office/drawing/2014/chart" uri="{C3380CC4-5D6E-409C-BE32-E72D297353CC}">
              <c16:uniqueId val="{00000001-0907-43DF-A4D2-0F8B086434E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26</xdr:row>
      <xdr:rowOff>0</xdr:rowOff>
    </xdr:from>
    <xdr:ext cx="792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F856DE-0D67-44AA-AC48-FE804C4B6DDD}">
  <we:reference id="wa200009404" version="1.0.0.8" store="en-US" storeType="OMEX"/>
  <we:alternateReferences>
    <we:reference id="wa200009404" version="1.0.0.8" store="" storeType="OMEX"/>
  </we:alternateReferences>
  <we:properties>
    <we:property name="claude.fileId" value="&quot;18a4721c-725f-46d8-8cf8-98588607f08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H191"/>
  <sheetViews>
    <sheetView showGridLines="0" tabSelected="1" topLeftCell="A15" zoomScale="90" workbookViewId="0">
      <selection activeCell="F44" sqref="F44"/>
    </sheetView>
  </sheetViews>
  <sheetFormatPr defaultRowHeight="14.4" x14ac:dyDescent="0.3"/>
  <cols>
    <col min="1" max="1" width="52" customWidth="1"/>
    <col min="2" max="5" width="17" customWidth="1"/>
    <col min="6" max="6" width="70" customWidth="1"/>
  </cols>
  <sheetData>
    <row r="1" spans="1:6" ht="18" x14ac:dyDescent="0.3">
      <c r="A1" s="1" t="s">
        <v>844</v>
      </c>
    </row>
    <row r="2" spans="1:6" x14ac:dyDescent="0.3">
      <c r="A2" s="2" t="s">
        <v>901</v>
      </c>
    </row>
    <row r="3" spans="1:6" x14ac:dyDescent="0.3">
      <c r="A3" s="3" t="s">
        <v>0</v>
      </c>
    </row>
    <row r="5" spans="1:6" ht="15.6" x14ac:dyDescent="0.3">
      <c r="A5" s="4" t="s">
        <v>1</v>
      </c>
      <c r="B5" s="5" t="s">
        <v>2</v>
      </c>
      <c r="C5" s="5" t="s">
        <v>767</v>
      </c>
      <c r="E5" s="5" t="s">
        <v>3</v>
      </c>
    </row>
    <row r="6" spans="1:6" ht="26.1" customHeight="1" x14ac:dyDescent="0.3">
      <c r="B6" s="6">
        <f>'01_Số liệu gốc'!$B$11</f>
        <v>26600</v>
      </c>
      <c r="C6" s="6">
        <f>C16</f>
        <v>26693.756718942375</v>
      </c>
      <c r="E6" s="7">
        <f>'03_Định giá'!$B$265</f>
        <v>6.0694119412437342E-3</v>
      </c>
    </row>
    <row r="7" spans="1:6" ht="20.399999999999999" x14ac:dyDescent="0.3">
      <c r="B7" s="8" t="str">
        <f>"Phiên "&amp;'01_Số liệu gốc'!$B$12</f>
        <v>Phiên 13/10/2026</v>
      </c>
      <c r="C7" s="8" t="str">
        <f>"DCF + (tiền − quỹ) × "&amp;TEXT((1-'02_Giả định'!$B$26)*100,"0")&amp;"% + dự án"</f>
        <v>DCF + (tiền − quỹ) × 90% + dự án</v>
      </c>
      <c r="E7" s="8" t="s">
        <v>845</v>
      </c>
    </row>
    <row r="8" spans="1:6" x14ac:dyDescent="0.3">
      <c r="A8" s="9" t="s">
        <v>4</v>
      </c>
      <c r="B8" s="10" t="str">
        <f>IF(AND(OR(LEFT('01_Số liệu gốc'!$D$10,4)="KHỚP",LEFT('01_Số liệu gốc'!$D$10,3)="ĐẠT"),OR(LEFT('01_Số liệu gốc'!$I$36,4)="KHỚP",LEFT('01_Số liệu gốc'!$I$36,3)="ĐẠT"),OR(LEFT('01_Số liệu gốc'!$I$72,4)="KHỚP",LEFT('01_Số liệu gốc'!$I$72,3)="ĐẠT"),OR(LEFT('02_Giả định'!$C$24,4)="KHỚP",LEFT('02_Giả định'!$C$24,3)="ĐẠT"),OR(LEFT('02_Giả định'!$C$45,4)="KHỚP",LEFT('02_Giả định'!$C$45,3)="ĐẠT"),OR(LEFT('03_Định giá'!$H$259,4)="KHỚP",LEFT('03_Định giá'!$H$259,3)="ĐẠT"),OR(LEFT('05_Đối chiếu'!$C$26,4)="KHỚP",LEFT('05_Đối chiếu'!$C$26,3)="ĐẠT"),OR(LEFT('05_Đối chiếu'!$C$27,4)="KHỚP",LEFT('05_Đối chiếu'!$C$27,3)="ĐẠT"),LEFT('06_Dự án'!$G$21,3)="ĐẠT",LEFT('04_Độ nhạy'!$B$65,3)="ĐẠT"),"ĐẠT — 10 phép tự kiểm đều khớp","CÓ PHÉP KIỂM LỆCH — tìm ô báo LỆCH hoặc SAI ở từng sheet")</f>
        <v>ĐẠT — 10 phép tự kiểm đều khớp</v>
      </c>
    </row>
    <row r="9" spans="1:6" x14ac:dyDescent="0.3">
      <c r="A9" s="11" t="s">
        <v>5</v>
      </c>
      <c r="B9" s="12"/>
      <c r="C9" s="12"/>
      <c r="D9" s="12"/>
      <c r="E9" s="12"/>
      <c r="F9" s="12"/>
    </row>
    <row r="10" spans="1:6" x14ac:dyDescent="0.3">
      <c r="A10" s="13" t="s">
        <v>6</v>
      </c>
      <c r="B10" s="13" t="s">
        <v>7</v>
      </c>
      <c r="C10" s="13" t="s">
        <v>8</v>
      </c>
      <c r="D10" s="13" t="s">
        <v>9</v>
      </c>
      <c r="E10" s="13" t="s">
        <v>10</v>
      </c>
      <c r="F10" s="13" t="s">
        <v>11</v>
      </c>
    </row>
    <row r="11" spans="1:6" x14ac:dyDescent="0.3">
      <c r="A11" s="14" t="s">
        <v>12</v>
      </c>
      <c r="B11" s="15">
        <f>'03_Định giá'!$B$221</f>
        <v>15602.829567462946</v>
      </c>
      <c r="C11" s="15">
        <f>'03_Định giá'!$C$221</f>
        <v>27130.765334580294</v>
      </c>
      <c r="D11" s="15">
        <f>'03_Định giá'!$D$221</f>
        <v>35934.575914538167</v>
      </c>
      <c r="E11" s="16">
        <f>'02_Giả định'!$B$19</f>
        <v>0</v>
      </c>
      <c r="F11" s="17" t="s">
        <v>846</v>
      </c>
    </row>
    <row r="12" spans="1:6" x14ac:dyDescent="0.3">
      <c r="A12" s="14" t="s">
        <v>13</v>
      </c>
      <c r="B12" s="15">
        <f>'03_Định giá'!$B$239</f>
        <v>14575.268244566529</v>
      </c>
      <c r="C12" s="15">
        <f>'03_Định giá'!$C$239</f>
        <v>26693.756718942375</v>
      </c>
      <c r="D12" s="15">
        <f>'03_Định giá'!$D$239</f>
        <v>36657.749045922094</v>
      </c>
      <c r="E12" s="16">
        <f>'02_Giả định'!$B$20</f>
        <v>1</v>
      </c>
      <c r="F12" s="17" t="s">
        <v>847</v>
      </c>
    </row>
    <row r="13" spans="1:6" x14ac:dyDescent="0.3">
      <c r="A13" s="14" t="s">
        <v>14</v>
      </c>
      <c r="B13" s="15">
        <f>'03_Định giá'!$B$248</f>
        <v>8764.0522200161249</v>
      </c>
      <c r="C13" s="15">
        <f>'03_Định giá'!$C$248</f>
        <v>22496.248267500836</v>
      </c>
      <c r="D13" s="15">
        <f>'03_Định giá'!$D$248</f>
        <v>32689.631006108353</v>
      </c>
      <c r="E13" s="16">
        <f>'02_Giả định'!$B$21</f>
        <v>0</v>
      </c>
      <c r="F13" s="17" t="s">
        <v>769</v>
      </c>
    </row>
    <row r="14" spans="1:6" x14ac:dyDescent="0.3">
      <c r="A14" s="14" t="s">
        <v>15</v>
      </c>
      <c r="B14" s="15">
        <f>'03_Định giá'!$B$230</f>
        <v>14239.967224531309</v>
      </c>
      <c r="C14" s="15">
        <f>'03_Định giá'!$C$230</f>
        <v>18858.334973027948</v>
      </c>
      <c r="D14" s="15">
        <f>'03_Định giá'!$D$230</f>
        <v>24631.294658648752</v>
      </c>
      <c r="E14" s="16">
        <f>'02_Giả định'!$B$22</f>
        <v>0</v>
      </c>
      <c r="F14" s="17" t="s">
        <v>770</v>
      </c>
    </row>
    <row r="15" spans="1:6" x14ac:dyDescent="0.3">
      <c r="A15" s="14" t="s">
        <v>16</v>
      </c>
      <c r="B15" s="15">
        <f>'03_Định giá'!$B$226</f>
        <v>16868.761595387907</v>
      </c>
      <c r="C15" s="15">
        <f>'03_Định giá'!$C$226</f>
        <v>27001.288977248783</v>
      </c>
      <c r="D15" s="15">
        <f>'03_Định giá'!$D$226</f>
        <v>34389.280262859284</v>
      </c>
      <c r="E15" s="16">
        <f>'02_Giả định'!$B$23</f>
        <v>0</v>
      </c>
      <c r="F15" s="17" t="s">
        <v>848</v>
      </c>
    </row>
    <row r="16" spans="1:6" x14ac:dyDescent="0.3">
      <c r="A16" s="9" t="s">
        <v>768</v>
      </c>
      <c r="B16" s="18">
        <f>'03_Định giá'!$B$256</f>
        <v>14575.268244566529</v>
      </c>
      <c r="C16" s="18">
        <f>'03_Định giá'!$C$256</f>
        <v>26693.756718942375</v>
      </c>
      <c r="D16" s="18">
        <f>'03_Định giá'!$D$256</f>
        <v>36657.749045922094</v>
      </c>
    </row>
    <row r="17" spans="1:6" x14ac:dyDescent="0.3">
      <c r="A17" s="14" t="s">
        <v>17</v>
      </c>
      <c r="B17" s="19">
        <f>B16/'01_Số liệu gốc'!$B$11-1</f>
        <v>-0.45205758479073199</v>
      </c>
      <c r="C17" s="19">
        <f>C16/'01_Số liệu gốc'!$B$11-1</f>
        <v>3.5246886820441414E-3</v>
      </c>
      <c r="D17" s="19">
        <f>D16/'01_Số liệu gốc'!$B$11-1</f>
        <v>0.37811086638804858</v>
      </c>
    </row>
    <row r="18" spans="1:6" x14ac:dyDescent="0.3">
      <c r="A18" s="14" t="s">
        <v>849</v>
      </c>
      <c r="B18" s="15">
        <f>'03_Định giá'!B261</f>
        <v>3328.925517293801</v>
      </c>
      <c r="C18" s="15">
        <f>'03_Định giá'!C261</f>
        <v>15447.413991669648</v>
      </c>
      <c r="D18" s="15">
        <f>'03_Định giá'!D261</f>
        <v>25411.406318649366</v>
      </c>
      <c r="F18" s="17" t="str">
        <f>"Tiền trừ quỹ, sau chiết khấu: "&amp;TEXT('03_Định giá'!$B$260,"#,##0")&amp;" đ/cp — như nhau ở ba kịch bản"</f>
        <v>Tiền trừ quỹ, sau chiết khấu: 11,246 đ/cp — như nhau ở ba kịch bản</v>
      </c>
    </row>
    <row r="20" spans="1:6" x14ac:dyDescent="0.3">
      <c r="A20" s="14" t="s">
        <v>2</v>
      </c>
      <c r="B20" s="15">
        <f>'01_Số liệu gốc'!$B$11</f>
        <v>26600</v>
      </c>
      <c r="F20" s="17" t="str">
        <f>"Phiên "&amp;'01_Số liệu gốc'!$B$12</f>
        <v>Phiên 13/10/2026</v>
      </c>
    </row>
    <row r="21" spans="1:6" ht="15.6" x14ac:dyDescent="0.3">
      <c r="A21" s="20" t="s">
        <v>850</v>
      </c>
      <c r="B21" s="21">
        <f>'03_Định giá'!$C$256</f>
        <v>26693.756718942375</v>
      </c>
      <c r="F21" s="17" t="s">
        <v>902</v>
      </c>
    </row>
    <row r="22" spans="1:6" x14ac:dyDescent="0.3">
      <c r="A22" s="14" t="s">
        <v>825</v>
      </c>
      <c r="B22" s="19">
        <f>'03_Định giá'!$B$265</f>
        <v>6.0694119412437342E-3</v>
      </c>
    </row>
    <row r="23" spans="1:6" x14ac:dyDescent="0.3">
      <c r="A23" s="14" t="s">
        <v>827</v>
      </c>
      <c r="B23" s="64">
        <f>'03_Định giá'!$B$266</f>
        <v>0.83642190532669625</v>
      </c>
      <c r="F23" s="17" t="s">
        <v>828</v>
      </c>
    </row>
    <row r="24" spans="1:6" x14ac:dyDescent="0.3">
      <c r="A24" s="14" t="s">
        <v>18</v>
      </c>
      <c r="B24" s="22">
        <f>'03_Định giá'!$C$257</f>
        <v>1.4386617574342566</v>
      </c>
      <c r="F24" s="17" t="s">
        <v>771</v>
      </c>
    </row>
    <row r="26" spans="1:6" x14ac:dyDescent="0.3">
      <c r="A26" s="11" t="s">
        <v>903</v>
      </c>
      <c r="B26" s="12"/>
      <c r="C26" s="12"/>
      <c r="D26" s="12"/>
      <c r="E26" s="12"/>
      <c r="F26" s="12"/>
    </row>
    <row r="46" spans="1:6" x14ac:dyDescent="0.3">
      <c r="A46" s="11" t="s">
        <v>904</v>
      </c>
      <c r="B46" s="12"/>
      <c r="C46" s="12"/>
      <c r="D46" s="12"/>
      <c r="E46" s="12"/>
      <c r="F46" s="12"/>
    </row>
    <row r="47" spans="1:6" x14ac:dyDescent="0.3">
      <c r="A47" s="9" t="s">
        <v>21</v>
      </c>
      <c r="B47" s="23">
        <f>'03_Định giá'!$C$215</f>
        <v>12713.972727272727</v>
      </c>
      <c r="C47" s="17" t="s">
        <v>851</v>
      </c>
    </row>
    <row r="48" spans="1:6" x14ac:dyDescent="0.3">
      <c r="A48" s="9" t="s">
        <v>22</v>
      </c>
      <c r="B48" s="23">
        <f>'03_Định giá'!$C$208</f>
        <v>-1386.631540148619</v>
      </c>
      <c r="C48" s="17" t="s">
        <v>23</v>
      </c>
    </row>
    <row r="49" spans="1:6" x14ac:dyDescent="0.3">
      <c r="A49" s="9" t="s">
        <v>24</v>
      </c>
      <c r="B49" s="24">
        <f>'03_Định giá'!$C$199</f>
        <v>323.73985745861143</v>
      </c>
      <c r="C49" s="17" t="s">
        <v>25</v>
      </c>
    </row>
    <row r="50" spans="1:6" x14ac:dyDescent="0.3">
      <c r="A50" s="9" t="s">
        <v>26</v>
      </c>
      <c r="B50" s="25">
        <f>'02_Giả định'!$B$10</f>
        <v>0.11223999999999999</v>
      </c>
      <c r="C50" s="17" t="s">
        <v>27</v>
      </c>
    </row>
    <row r="51" spans="1:6" x14ac:dyDescent="0.3">
      <c r="A51" s="9" t="s">
        <v>28</v>
      </c>
      <c r="B51" s="25">
        <f>'05_Đối chiếu'!$B$23</f>
        <v>0.11633828996850711</v>
      </c>
      <c r="C51" s="17" t="s">
        <v>905</v>
      </c>
    </row>
    <row r="52" spans="1:6" x14ac:dyDescent="0.3">
      <c r="A52" s="9" t="s">
        <v>29</v>
      </c>
      <c r="B52" s="25">
        <f>'05_Đối chiếu'!$B$24</f>
        <v>8.4821838075928149E-2</v>
      </c>
      <c r="C52" s="17" t="str">
        <f>"So lãi gửi tham chiếu "&amp;TEXT('02_Giả định'!$B$17*100,"0.0")&amp;"% (khoản lớn, thực nhận)"</f>
        <v>So lãi gửi tham chiếu 9.0% (khoản lớn, thực nhận)</v>
      </c>
    </row>
    <row r="53" spans="1:6" x14ac:dyDescent="0.3">
      <c r="A53" s="9" t="s">
        <v>30</v>
      </c>
      <c r="B53" s="24">
        <f>'02_Giả định'!$B$56</f>
        <v>48.164720077968667</v>
      </c>
      <c r="C53" s="17" t="s">
        <v>31</v>
      </c>
    </row>
    <row r="55" spans="1:6" x14ac:dyDescent="0.3">
      <c r="A55" s="11" t="s">
        <v>906</v>
      </c>
      <c r="B55" s="12"/>
      <c r="C55" s="12"/>
      <c r="D55" s="12"/>
      <c r="E55" s="12"/>
      <c r="F55" s="12"/>
    </row>
    <row r="56" spans="1:6" x14ac:dyDescent="0.3">
      <c r="A56" s="13" t="s">
        <v>32</v>
      </c>
      <c r="B56" s="26" t="s">
        <v>33</v>
      </c>
      <c r="C56" s="26" t="s">
        <v>34</v>
      </c>
      <c r="D56" s="26" t="s">
        <v>35</v>
      </c>
      <c r="E56" s="26" t="s">
        <v>36</v>
      </c>
      <c r="F56" s="26" t="s">
        <v>37</v>
      </c>
    </row>
    <row r="57" spans="1:6" x14ac:dyDescent="0.3">
      <c r="A57" s="14" t="s">
        <v>38</v>
      </c>
      <c r="B57" s="27">
        <f>'03_Định giá'!$C$88</f>
        <v>704.67899999999997</v>
      </c>
      <c r="C57" s="27">
        <f>'03_Định giá'!$C$112</f>
        <v>355.9615</v>
      </c>
      <c r="D57" s="27">
        <f>'03_Định giá'!$C$136</f>
        <v>355.9615</v>
      </c>
      <c r="E57" s="27">
        <f>'03_Định giá'!$C$160</f>
        <v>0</v>
      </c>
      <c r="F57" s="27">
        <f>'03_Định giá'!$C$184</f>
        <v>0</v>
      </c>
    </row>
    <row r="58" spans="1:6" x14ac:dyDescent="0.3">
      <c r="A58" s="14" t="s">
        <v>39</v>
      </c>
      <c r="B58" s="27">
        <f>'03_Định giá'!$C$98</f>
        <v>165</v>
      </c>
      <c r="C58" s="27">
        <f>'03_Định giá'!$C$122</f>
        <v>165</v>
      </c>
      <c r="D58" s="27">
        <f>'03_Định giá'!$C$146</f>
        <v>165</v>
      </c>
      <c r="E58" s="27">
        <f>'03_Định giá'!$C$170</f>
        <v>165</v>
      </c>
      <c r="F58" s="27">
        <f>'03_Định giá'!$C$194</f>
        <v>165</v>
      </c>
    </row>
    <row r="59" spans="1:6" x14ac:dyDescent="0.3">
      <c r="A59" s="14" t="s">
        <v>40</v>
      </c>
      <c r="B59" s="27">
        <f>'03_Định giá'!$C$97</f>
        <v>301.4223884835576</v>
      </c>
      <c r="C59" s="27">
        <f>'03_Định giá'!$C$121</f>
        <v>307.49428267763562</v>
      </c>
      <c r="D59" s="27">
        <f>'03_Định giá'!$C$145</f>
        <v>298.71716490393038</v>
      </c>
      <c r="E59" s="27">
        <f>'03_Định giá'!$C$169</f>
        <v>334.60722042581062</v>
      </c>
      <c r="F59" s="27">
        <f>'03_Định giá'!$C$193</f>
        <v>352.97780497831531</v>
      </c>
    </row>
    <row r="60" spans="1:6" x14ac:dyDescent="0.3">
      <c r="A60" s="9" t="s">
        <v>41</v>
      </c>
      <c r="B60" s="24">
        <f>'03_Định giá'!$C$100</f>
        <v>796.84886963520205</v>
      </c>
      <c r="C60" s="24">
        <f>'03_Định giá'!$C$124</f>
        <v>564.40172404507416</v>
      </c>
      <c r="D60" s="24">
        <f>'03_Định giá'!$C$148</f>
        <v>323.73985745861143</v>
      </c>
      <c r="E60" s="24">
        <f>'03_Định giá'!$C$172</f>
        <v>471.015766391841</v>
      </c>
      <c r="F60" s="24">
        <f>'03_Định giá'!$C$196</f>
        <v>634.49068373882483</v>
      </c>
    </row>
    <row r="61" spans="1:6" x14ac:dyDescent="0.3">
      <c r="A61" s="17" t="s">
        <v>42</v>
      </c>
    </row>
    <row r="63" spans="1:6" x14ac:dyDescent="0.3">
      <c r="A63" s="11" t="s">
        <v>907</v>
      </c>
      <c r="B63" s="12"/>
      <c r="C63" s="12"/>
      <c r="D63" s="12"/>
      <c r="E63" s="12"/>
      <c r="F63" s="12"/>
    </row>
    <row r="64" spans="1:6" x14ac:dyDescent="0.3">
      <c r="A64" s="14" t="s">
        <v>908</v>
      </c>
    </row>
    <row r="65" spans="1:6" x14ac:dyDescent="0.3">
      <c r="A65" s="14" t="s">
        <v>893</v>
      </c>
    </row>
    <row r="66" spans="1:6" x14ac:dyDescent="0.3">
      <c r="A66" s="14" t="s">
        <v>43</v>
      </c>
    </row>
    <row r="67" spans="1:6" x14ac:dyDescent="0.3">
      <c r="A67" s="14" t="s">
        <v>44</v>
      </c>
    </row>
    <row r="68" spans="1:6" x14ac:dyDescent="0.3">
      <c r="A68" s="14" t="s">
        <v>45</v>
      </c>
    </row>
    <row r="69" spans="1:6" x14ac:dyDescent="0.3">
      <c r="A69" s="14" t="s">
        <v>46</v>
      </c>
    </row>
    <row r="71" spans="1:6" x14ac:dyDescent="0.3">
      <c r="A71" s="11" t="s">
        <v>909</v>
      </c>
      <c r="B71" s="12"/>
      <c r="C71" s="12"/>
      <c r="D71" s="12"/>
      <c r="E71" s="12"/>
      <c r="F71" s="12"/>
    </row>
    <row r="72" spans="1:6" x14ac:dyDescent="0.3">
      <c r="A72" s="28" t="s">
        <v>47</v>
      </c>
      <c r="B72" s="14" t="s">
        <v>48</v>
      </c>
    </row>
    <row r="73" spans="1:6" x14ac:dyDescent="0.3">
      <c r="A73" s="28" t="s">
        <v>49</v>
      </c>
      <c r="B73" s="14" t="s">
        <v>50</v>
      </c>
    </row>
    <row r="74" spans="1:6" x14ac:dyDescent="0.3">
      <c r="A74" s="28" t="s">
        <v>51</v>
      </c>
      <c r="B74" s="14" t="s">
        <v>755</v>
      </c>
    </row>
    <row r="75" spans="1:6" x14ac:dyDescent="0.3">
      <c r="A75" s="28" t="s">
        <v>52</v>
      </c>
      <c r="B75" s="14" t="s">
        <v>53</v>
      </c>
    </row>
    <row r="76" spans="1:6" x14ac:dyDescent="0.3">
      <c r="A76" s="28" t="s">
        <v>54</v>
      </c>
      <c r="B76" s="14" t="s">
        <v>910</v>
      </c>
    </row>
    <row r="77" spans="1:6" x14ac:dyDescent="0.3">
      <c r="A77" s="28" t="s">
        <v>55</v>
      </c>
      <c r="B77" s="14" t="s">
        <v>56</v>
      </c>
    </row>
    <row r="79" spans="1:6" x14ac:dyDescent="0.3">
      <c r="A79" s="11" t="s">
        <v>911</v>
      </c>
      <c r="B79" s="12"/>
      <c r="C79" s="12"/>
      <c r="D79" s="12"/>
      <c r="E79" s="12"/>
      <c r="F79" s="12"/>
    </row>
    <row r="80" spans="1:6" x14ac:dyDescent="0.3">
      <c r="A80" s="9" t="s">
        <v>57</v>
      </c>
      <c r="B80" s="14" t="s">
        <v>58</v>
      </c>
    </row>
    <row r="81" spans="1:2" x14ac:dyDescent="0.3">
      <c r="A81" s="9" t="s">
        <v>59</v>
      </c>
      <c r="B81" s="14" t="s">
        <v>60</v>
      </c>
    </row>
    <row r="82" spans="1:2" x14ac:dyDescent="0.3">
      <c r="A82" s="9" t="s">
        <v>61</v>
      </c>
      <c r="B82" s="14" t="s">
        <v>62</v>
      </c>
    </row>
    <row r="83" spans="1:2" x14ac:dyDescent="0.3">
      <c r="A83" s="9" t="s">
        <v>63</v>
      </c>
      <c r="B83" s="14" t="s">
        <v>64</v>
      </c>
    </row>
    <row r="84" spans="1:2" x14ac:dyDescent="0.3">
      <c r="A84" s="9" t="s">
        <v>65</v>
      </c>
      <c r="B84" s="14" t="s">
        <v>894</v>
      </c>
    </row>
    <row r="85" spans="1:2" x14ac:dyDescent="0.3">
      <c r="A85" s="9" t="s">
        <v>66</v>
      </c>
      <c r="B85" s="14" t="s">
        <v>67</v>
      </c>
    </row>
    <row r="86" spans="1:2" x14ac:dyDescent="0.3">
      <c r="A86" s="9" t="s">
        <v>68</v>
      </c>
      <c r="B86" s="14" t="s">
        <v>69</v>
      </c>
    </row>
    <row r="87" spans="1:2" x14ac:dyDescent="0.3">
      <c r="A87" s="9" t="s">
        <v>70</v>
      </c>
      <c r="B87" s="14" t="s">
        <v>71</v>
      </c>
    </row>
    <row r="88" spans="1:2" x14ac:dyDescent="0.3">
      <c r="A88" s="9" t="s">
        <v>3</v>
      </c>
      <c r="B88" s="14" t="s">
        <v>852</v>
      </c>
    </row>
    <row r="89" spans="1:2" x14ac:dyDescent="0.3">
      <c r="A89" s="9" t="s">
        <v>853</v>
      </c>
      <c r="B89" s="14" t="s">
        <v>912</v>
      </c>
    </row>
    <row r="90" spans="1:2" x14ac:dyDescent="0.3">
      <c r="A90" s="9" t="s">
        <v>772</v>
      </c>
      <c r="B90" s="14" t="s">
        <v>773</v>
      </c>
    </row>
    <row r="91" spans="1:2" x14ac:dyDescent="0.3">
      <c r="A91" s="9" t="s">
        <v>854</v>
      </c>
      <c r="B91" s="14" t="s">
        <v>855</v>
      </c>
    </row>
    <row r="188" spans="1:8" x14ac:dyDescent="0.3">
      <c r="A188" s="17" t="s">
        <v>72</v>
      </c>
    </row>
    <row r="189" spans="1:8" x14ac:dyDescent="0.3">
      <c r="A189" s="14" t="s">
        <v>6</v>
      </c>
      <c r="B189" s="14" t="s">
        <v>73</v>
      </c>
      <c r="C189" s="14" t="s">
        <v>74</v>
      </c>
      <c r="D189" s="14" t="s">
        <v>75</v>
      </c>
      <c r="E189" s="14" t="s">
        <v>76</v>
      </c>
      <c r="F189" s="14" t="s">
        <v>77</v>
      </c>
      <c r="G189" s="14" t="s">
        <v>763</v>
      </c>
      <c r="H189" s="14"/>
    </row>
    <row r="190" spans="1:8" x14ac:dyDescent="0.3">
      <c r="A190" s="14" t="s">
        <v>78</v>
      </c>
      <c r="B190" s="29">
        <f>C11</f>
        <v>27130.765334580294</v>
      </c>
      <c r="C190" s="29">
        <f>C12</f>
        <v>26693.756718942375</v>
      </c>
      <c r="D190" s="29">
        <f>C13</f>
        <v>22496.248267500836</v>
      </c>
      <c r="E190" s="29">
        <f>C14</f>
        <v>18858.334973027948</v>
      </c>
      <c r="F190" s="29">
        <f>C15</f>
        <v>27001.288977248783</v>
      </c>
      <c r="G190" s="29">
        <f>C16</f>
        <v>26693.756718942375</v>
      </c>
      <c r="H190" s="29"/>
    </row>
    <row r="191" spans="1:8" x14ac:dyDescent="0.3">
      <c r="A191" s="14" t="s">
        <v>79</v>
      </c>
      <c r="B191" s="29">
        <f t="shared" ref="B191:H191" si="0">$B$20</f>
        <v>26600</v>
      </c>
      <c r="C191" s="29">
        <f t="shared" si="0"/>
        <v>26600</v>
      </c>
      <c r="D191" s="29">
        <f t="shared" si="0"/>
        <v>26600</v>
      </c>
      <c r="E191" s="29">
        <f t="shared" si="0"/>
        <v>26600</v>
      </c>
      <c r="F191" s="29">
        <f t="shared" si="0"/>
        <v>26600</v>
      </c>
      <c r="G191" s="29">
        <f t="shared" si="0"/>
        <v>26600</v>
      </c>
      <c r="H191" s="29"/>
    </row>
  </sheetData>
  <conditionalFormatting sqref="B8">
    <cfRule type="expression" dxfId="10" priority="2">
      <formula>LEFT(B8,3)="ĐẠT"</formula>
    </cfRule>
    <cfRule type="expression" dxfId="9" priority="3">
      <formula>LEFT(B8,3)&lt;&gt;"ĐẠT"</formula>
    </cfRule>
  </conditionalFormatting>
  <conditionalFormatting sqref="B60:F60">
    <cfRule type="expression" dxfId="8" priority="1">
      <formula>B60&lt;0</formula>
    </cfRule>
  </conditionalFormatting>
  <hyperlinks>
    <hyperlink ref="A72" location="'01_Số liệu gốc'!A1" display="01_Số liệu gốc" xr:uid="{00000000-0004-0000-0000-000000000000}"/>
    <hyperlink ref="A73" location="'02_Giả định'!A1" display="02_Giả định" xr:uid="{00000000-0004-0000-0000-000001000000}"/>
    <hyperlink ref="A74" location="'03_Định giá'!A1" display="03_Định giá" xr:uid="{00000000-0004-0000-0000-000002000000}"/>
    <hyperlink ref="A75" location="'04_Độ nhạy'!A1" display="04_Độ nhạy" xr:uid="{00000000-0004-0000-0000-000003000000}"/>
    <hyperlink ref="A76" location="'05_Đối chiếu'!A1" display="05_Đối chiếu" xr:uid="{00000000-0004-0000-0000-000004000000}"/>
    <hyperlink ref="A77" location="'06_Dự án'!A1" display="06_Dự án" xr:uid="{00000000-0004-0000-0000-000005000000}"/>
  </hyperlinks>
  <pageMargins left="0.4" right="0.4" top="0.7" bottom="0.6" header="0.5" footer="0.5"/>
  <pageSetup scale="68" fitToHeight="0" orientation="landscape" r:id="rId1"/>
  <headerFooter>
    <oddHeader>&amp;R&amp;A&amp;LMCM — Định giá DCF + tiền + dự án</oddHeader>
    <oddFooter>&amp;RTrang &amp;P / &amp;N&amp;LFairline Research — bản 15/10/2026</oddFooter>
  </headerFooter>
  <rowBreaks count="2" manualBreakCount="2">
    <brk id="25" max="16383" man="1"/>
    <brk id="70" max="16383"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7F7F"/>
    <pageSetUpPr fitToPage="1"/>
  </sheetPr>
  <dimension ref="A1:I145"/>
  <sheetViews>
    <sheetView showGridLines="0" zoomScale="90" workbookViewId="0">
      <pane xSplit="1" ySplit="3" topLeftCell="B4" activePane="bottomRight" state="frozen"/>
      <selection pane="topRight"/>
      <selection pane="bottomLeft"/>
      <selection pane="bottomRight" activeCell="A66" sqref="A66:XFD66"/>
    </sheetView>
  </sheetViews>
  <sheetFormatPr defaultRowHeight="14.4" x14ac:dyDescent="0.3"/>
  <cols>
    <col min="1" max="1" width="60" customWidth="1"/>
    <col min="2" max="8" width="13" customWidth="1"/>
    <col min="9" max="9" width="72" customWidth="1"/>
  </cols>
  <sheetData>
    <row r="1" spans="1:9" ht="18" x14ac:dyDescent="0.3">
      <c r="A1" s="1" t="s">
        <v>80</v>
      </c>
    </row>
    <row r="2" spans="1:9" x14ac:dyDescent="0.3">
      <c r="A2" s="17" t="s">
        <v>81</v>
      </c>
    </row>
    <row r="4" spans="1:9" x14ac:dyDescent="0.3">
      <c r="A4" s="11" t="s">
        <v>82</v>
      </c>
      <c r="B4" s="12"/>
      <c r="C4" s="12"/>
      <c r="D4" s="12"/>
      <c r="E4" s="12"/>
      <c r="F4" s="12"/>
      <c r="G4" s="12"/>
      <c r="H4" s="12"/>
      <c r="I4" s="12"/>
    </row>
    <row r="5" spans="1:9" ht="28.8" x14ac:dyDescent="0.3">
      <c r="A5" s="13" t="s">
        <v>83</v>
      </c>
      <c r="B5" s="13" t="s">
        <v>84</v>
      </c>
      <c r="C5" s="13" t="s">
        <v>85</v>
      </c>
      <c r="D5" s="13" t="s">
        <v>86</v>
      </c>
      <c r="E5" s="13"/>
      <c r="F5" s="13"/>
      <c r="G5" s="13"/>
      <c r="H5" s="13"/>
      <c r="I5" s="13"/>
    </row>
    <row r="6" spans="1:9" x14ac:dyDescent="0.3">
      <c r="A6" s="14" t="s">
        <v>87</v>
      </c>
      <c r="B6" s="30">
        <v>110</v>
      </c>
      <c r="C6" s="14" t="s">
        <v>88</v>
      </c>
      <c r="D6" s="14" t="s">
        <v>89</v>
      </c>
    </row>
    <row r="7" spans="1:9" x14ac:dyDescent="0.3">
      <c r="A7" s="14" t="s">
        <v>90</v>
      </c>
      <c r="B7" s="30">
        <v>0</v>
      </c>
      <c r="C7" s="14" t="s">
        <v>88</v>
      </c>
      <c r="D7" s="14" t="s">
        <v>91</v>
      </c>
    </row>
    <row r="8" spans="1:9" x14ac:dyDescent="0.3">
      <c r="A8" s="9" t="s">
        <v>92</v>
      </c>
      <c r="B8" s="31">
        <f>B6-B7</f>
        <v>110</v>
      </c>
      <c r="C8" s="14" t="s">
        <v>88</v>
      </c>
      <c r="D8" s="14"/>
    </row>
    <row r="9" spans="1:9" x14ac:dyDescent="0.3">
      <c r="A9" s="14" t="s">
        <v>93</v>
      </c>
      <c r="B9" s="32">
        <v>1100</v>
      </c>
      <c r="C9" s="14" t="s">
        <v>94</v>
      </c>
      <c r="D9" s="14" t="s">
        <v>95</v>
      </c>
    </row>
    <row r="10" spans="1:9" x14ac:dyDescent="0.3">
      <c r="A10" s="14" t="s">
        <v>96</v>
      </c>
      <c r="B10" s="33">
        <f>B9/10</f>
        <v>110</v>
      </c>
      <c r="C10" s="14" t="s">
        <v>88</v>
      </c>
      <c r="D10" s="9" t="str">
        <f>IF(ABS(B10-B6)&lt;0.001,"KHỚP cổ phiếu đã phát hành","LỆCH")</f>
        <v>KHỚP cổ phiếu đã phát hành</v>
      </c>
    </row>
    <row r="11" spans="1:9" x14ac:dyDescent="0.3">
      <c r="A11" s="14" t="s">
        <v>97</v>
      </c>
      <c r="B11" s="34">
        <v>26600</v>
      </c>
      <c r="C11" s="14" t="s">
        <v>98</v>
      </c>
      <c r="D11" s="14" t="s">
        <v>99</v>
      </c>
    </row>
    <row r="12" spans="1:9" x14ac:dyDescent="0.3">
      <c r="A12" s="14" t="s">
        <v>100</v>
      </c>
      <c r="B12" s="89" t="s">
        <v>777</v>
      </c>
    </row>
    <row r="13" spans="1:9" x14ac:dyDescent="0.3">
      <c r="A13" s="14" t="s">
        <v>101</v>
      </c>
      <c r="B13" s="34">
        <v>29400</v>
      </c>
      <c r="C13" s="14" t="s">
        <v>98</v>
      </c>
      <c r="D13" s="14" t="s">
        <v>102</v>
      </c>
    </row>
    <row r="14" spans="1:9" x14ac:dyDescent="0.3">
      <c r="A14" s="14" t="s">
        <v>103</v>
      </c>
      <c r="B14" s="34">
        <v>23744</v>
      </c>
      <c r="C14" s="14" t="s">
        <v>98</v>
      </c>
      <c r="D14" s="14" t="s">
        <v>102</v>
      </c>
    </row>
    <row r="15" spans="1:9" x14ac:dyDescent="0.3">
      <c r="A15" s="14" t="s">
        <v>104</v>
      </c>
      <c r="B15" s="32">
        <v>520.4</v>
      </c>
      <c r="C15" s="14" t="s">
        <v>105</v>
      </c>
      <c r="D15" s="14" t="s">
        <v>106</v>
      </c>
    </row>
    <row r="16" spans="1:9" x14ac:dyDescent="0.3">
      <c r="A16" s="14" t="s">
        <v>107</v>
      </c>
      <c r="B16" s="36">
        <f>B11*B8/1000</f>
        <v>2926</v>
      </c>
      <c r="C16" s="14" t="s">
        <v>94</v>
      </c>
      <c r="D16" s="14" t="s">
        <v>108</v>
      </c>
    </row>
    <row r="18" spans="1:9" x14ac:dyDescent="0.3">
      <c r="A18" s="11" t="s">
        <v>109</v>
      </c>
      <c r="B18" s="12"/>
      <c r="C18" s="12"/>
      <c r="D18" s="12"/>
      <c r="E18" s="12"/>
      <c r="F18" s="12"/>
      <c r="G18" s="12"/>
      <c r="H18" s="12"/>
      <c r="I18" s="12"/>
    </row>
    <row r="19" spans="1:9" x14ac:dyDescent="0.3">
      <c r="A19" s="13" t="s">
        <v>110</v>
      </c>
      <c r="B19" s="13" t="s">
        <v>111</v>
      </c>
      <c r="C19" s="13" t="s">
        <v>112</v>
      </c>
      <c r="D19" s="13" t="s">
        <v>113</v>
      </c>
      <c r="E19" s="13" t="s">
        <v>114</v>
      </c>
      <c r="F19" s="13" t="s">
        <v>115</v>
      </c>
      <c r="G19" s="13"/>
      <c r="H19" s="13"/>
      <c r="I19" s="13" t="s">
        <v>116</v>
      </c>
    </row>
    <row r="20" spans="1:9" x14ac:dyDescent="0.3">
      <c r="A20" s="14" t="s">
        <v>117</v>
      </c>
      <c r="B20" s="32">
        <v>2925.6640000000002</v>
      </c>
      <c r="C20" s="32">
        <v>3133.0990000000002</v>
      </c>
      <c r="D20" s="32">
        <v>3135.4229999999998</v>
      </c>
      <c r="E20" s="32">
        <v>2916.9580000000001</v>
      </c>
      <c r="F20" s="32">
        <v>2834.8739999999998</v>
      </c>
      <c r="I20" s="14" t="s">
        <v>118</v>
      </c>
    </row>
    <row r="21" spans="1:9" x14ac:dyDescent="0.3">
      <c r="A21" s="14" t="s">
        <v>119</v>
      </c>
      <c r="B21" s="32">
        <v>898.50300000000004</v>
      </c>
      <c r="C21" s="32">
        <v>1017.789</v>
      </c>
      <c r="D21" s="32">
        <v>1008.6180000000001</v>
      </c>
      <c r="E21" s="32">
        <v>848.54499999999996</v>
      </c>
      <c r="F21" s="32">
        <v>796.98</v>
      </c>
      <c r="I21" s="14" t="s">
        <v>120</v>
      </c>
    </row>
    <row r="22" spans="1:9" x14ac:dyDescent="0.3">
      <c r="A22" s="14" t="s">
        <v>121</v>
      </c>
      <c r="B22" s="32">
        <v>594.25900000000001</v>
      </c>
      <c r="C22" s="32">
        <v>688.74199999999996</v>
      </c>
      <c r="D22" s="32">
        <v>708.87900000000002</v>
      </c>
      <c r="E22" s="32">
        <v>657.04600000000005</v>
      </c>
      <c r="F22" s="32">
        <v>606.61400000000003</v>
      </c>
      <c r="I22" s="14" t="s">
        <v>122</v>
      </c>
    </row>
    <row r="23" spans="1:9" x14ac:dyDescent="0.3">
      <c r="A23" s="14" t="s">
        <v>123</v>
      </c>
      <c r="B23" s="32">
        <v>36.609000000000002</v>
      </c>
      <c r="C23" s="32">
        <v>39.603000000000002</v>
      </c>
      <c r="D23" s="32">
        <v>37.898000000000003</v>
      </c>
      <c r="E23" s="32">
        <v>37.145000000000003</v>
      </c>
      <c r="F23" s="32">
        <v>38.070999999999998</v>
      </c>
      <c r="I23" s="14" t="s">
        <v>124</v>
      </c>
    </row>
    <row r="24" spans="1:9" x14ac:dyDescent="0.3">
      <c r="A24" s="9" t="s">
        <v>125</v>
      </c>
      <c r="B24" s="37">
        <f>B21-B22-B23</f>
        <v>267.63500000000005</v>
      </c>
      <c r="C24" s="37">
        <f>C21-C22-C23</f>
        <v>289.44400000000002</v>
      </c>
      <c r="D24" s="37">
        <f>D21-D22-D23</f>
        <v>261.84100000000001</v>
      </c>
      <c r="E24" s="37">
        <f>E21-E22-E23</f>
        <v>154.3539999999999</v>
      </c>
      <c r="F24" s="37">
        <f>F21-F22-F23</f>
        <v>152.29499999999999</v>
      </c>
      <c r="I24" s="38" t="s">
        <v>126</v>
      </c>
    </row>
    <row r="25" spans="1:9" x14ac:dyDescent="0.3">
      <c r="A25" s="14" t="s">
        <v>127</v>
      </c>
      <c r="B25" s="32">
        <v>95.418999999999997</v>
      </c>
      <c r="C25" s="32">
        <v>103.15600000000001</v>
      </c>
      <c r="D25" s="32">
        <v>162.315</v>
      </c>
      <c r="E25" s="32">
        <v>101.252</v>
      </c>
      <c r="F25" s="32">
        <v>103.916</v>
      </c>
      <c r="I25" s="14" t="s">
        <v>128</v>
      </c>
    </row>
    <row r="26" spans="1:9" x14ac:dyDescent="0.3">
      <c r="A26" s="14" t="s">
        <v>129</v>
      </c>
      <c r="B26" s="32">
        <v>0.5</v>
      </c>
      <c r="C26" s="32">
        <v>0.996</v>
      </c>
      <c r="D26" s="32">
        <v>0.88100000000000001</v>
      </c>
      <c r="E26" s="32">
        <v>1.8979999999999999</v>
      </c>
      <c r="F26" s="32">
        <v>6.0039999999999996</v>
      </c>
      <c r="I26" s="14" t="s">
        <v>130</v>
      </c>
    </row>
    <row r="27" spans="1:9" x14ac:dyDescent="0.3">
      <c r="A27" s="14" t="s">
        <v>131</v>
      </c>
      <c r="B27" s="32">
        <v>0.16300000000000001</v>
      </c>
      <c r="C27" s="32">
        <v>0.63600000000000001</v>
      </c>
      <c r="D27" s="32">
        <v>0</v>
      </c>
      <c r="E27" s="32">
        <v>1.732</v>
      </c>
      <c r="F27" s="32">
        <v>5.7060000000000004</v>
      </c>
      <c r="I27" s="14" t="s">
        <v>132</v>
      </c>
    </row>
    <row r="28" spans="1:9" x14ac:dyDescent="0.3">
      <c r="A28" s="14" t="s">
        <v>133</v>
      </c>
      <c r="B28" s="32">
        <v>-8.7959999999999994</v>
      </c>
      <c r="C28" s="32">
        <v>-10.917</v>
      </c>
      <c r="D28" s="32">
        <v>0.30499999999999999</v>
      </c>
      <c r="E28" s="32">
        <v>-1.6519999999999999</v>
      </c>
      <c r="F28" s="32">
        <v>-1.673</v>
      </c>
      <c r="I28" s="14" t="s">
        <v>134</v>
      </c>
    </row>
    <row r="29" spans="1:9" x14ac:dyDescent="0.3">
      <c r="A29" s="9" t="s">
        <v>135</v>
      </c>
      <c r="B29" s="32">
        <v>353.75799999999998</v>
      </c>
      <c r="C29" s="32">
        <v>380.68700000000001</v>
      </c>
      <c r="D29" s="32">
        <v>423.58</v>
      </c>
      <c r="E29" s="32">
        <v>252.05699999999999</v>
      </c>
      <c r="F29" s="32">
        <v>248.53399999999999</v>
      </c>
      <c r="I29" s="14" t="s">
        <v>136</v>
      </c>
    </row>
    <row r="30" spans="1:9" x14ac:dyDescent="0.3">
      <c r="A30" s="14" t="s">
        <v>137</v>
      </c>
      <c r="B30" s="32">
        <v>34.646000000000001</v>
      </c>
      <c r="C30" s="32">
        <v>34.137999999999998</v>
      </c>
      <c r="D30" s="32">
        <v>49.161999999999999</v>
      </c>
      <c r="E30" s="32">
        <v>32.136000000000003</v>
      </c>
      <c r="F30" s="32">
        <v>32.82</v>
      </c>
      <c r="I30" s="14" t="s">
        <v>138</v>
      </c>
    </row>
    <row r="31" spans="1:9" x14ac:dyDescent="0.3">
      <c r="A31" s="9" t="s">
        <v>139</v>
      </c>
      <c r="B31" s="32">
        <v>319.11200000000002</v>
      </c>
      <c r="C31" s="32">
        <v>346.54899999999998</v>
      </c>
      <c r="D31" s="32">
        <v>374.41699999999997</v>
      </c>
      <c r="E31" s="32">
        <v>219.92099999999999</v>
      </c>
      <c r="F31" s="32">
        <v>215.714</v>
      </c>
      <c r="I31" s="14" t="s">
        <v>140</v>
      </c>
    </row>
    <row r="32" spans="1:9" x14ac:dyDescent="0.3">
      <c r="A32" s="14" t="s">
        <v>141</v>
      </c>
      <c r="B32" s="32">
        <v>49.921999999999997</v>
      </c>
      <c r="C32" s="32">
        <v>54.459000000000003</v>
      </c>
      <c r="D32" s="32">
        <v>62.040999999999997</v>
      </c>
      <c r="E32" s="32">
        <v>67.010000000000005</v>
      </c>
      <c r="F32" s="32">
        <v>68.763000000000005</v>
      </c>
      <c r="I32" s="14" t="s">
        <v>142</v>
      </c>
    </row>
    <row r="33" spans="1:9" x14ac:dyDescent="0.3">
      <c r="A33" s="14" t="s">
        <v>143</v>
      </c>
      <c r="B33" s="32">
        <v>230.26</v>
      </c>
      <c r="C33" s="32">
        <v>268.49299999999999</v>
      </c>
      <c r="D33" s="32">
        <v>287.49</v>
      </c>
      <c r="E33" s="32">
        <v>196.059</v>
      </c>
      <c r="F33" s="32">
        <v>180.85400000000001</v>
      </c>
      <c r="I33" s="14" t="s">
        <v>144</v>
      </c>
    </row>
    <row r="34" spans="1:9" x14ac:dyDescent="0.3">
      <c r="A34" s="14" t="s">
        <v>145</v>
      </c>
      <c r="B34" s="32">
        <v>-151.34899999999999</v>
      </c>
      <c r="C34" s="32">
        <v>-139.44300000000001</v>
      </c>
      <c r="D34" s="32">
        <v>-246.393</v>
      </c>
      <c r="E34" s="32">
        <v>-93.477999999999994</v>
      </c>
      <c r="F34" s="32">
        <v>-174.15199999999999</v>
      </c>
      <c r="I34" s="14" t="s">
        <v>146</v>
      </c>
    </row>
    <row r="35" spans="1:9" x14ac:dyDescent="0.3">
      <c r="A35" s="14" t="s">
        <v>147</v>
      </c>
      <c r="B35" s="32">
        <v>-309.01600000000002</v>
      </c>
      <c r="C35" s="32">
        <v>-274.94799999999998</v>
      </c>
      <c r="D35" s="32">
        <v>-220.10499999999999</v>
      </c>
      <c r="E35" s="32">
        <v>-220</v>
      </c>
      <c r="F35" s="32">
        <v>-220</v>
      </c>
      <c r="I35" s="14" t="s">
        <v>148</v>
      </c>
    </row>
    <row r="36" spans="1:9" x14ac:dyDescent="0.3">
      <c r="A36" s="14" t="s">
        <v>149</v>
      </c>
      <c r="B36" s="39">
        <f>B24+B25-B26+B28-B29</f>
        <v>0</v>
      </c>
      <c r="C36" s="39">
        <f>C24+C25-C26+C28-C29</f>
        <v>0</v>
      </c>
      <c r="D36" s="39">
        <f>D24+D25-D26+D28-D29</f>
        <v>0</v>
      </c>
      <c r="E36" s="39">
        <f>E24+E25-E26+E28-E29</f>
        <v>-1.00000000009004E-3</v>
      </c>
      <c r="F36" s="39">
        <f>F24+F25-F26+F28-F29</f>
        <v>0</v>
      </c>
      <c r="I36" s="9" t="str">
        <f>IF(MAX(ABS(B36),ABS(C36),ABS(D36),ABS(E36),ABS(F36))&lt;0.5,"KHỚP (dung sai 0,5 tỷ — làm tròn DB)","LỆCH")</f>
        <v>KHỚP (dung sai 0,5 tỷ — làm tròn DB)</v>
      </c>
    </row>
    <row r="37" spans="1:9" ht="24" x14ac:dyDescent="0.3">
      <c r="A37" s="14" t="s">
        <v>150</v>
      </c>
      <c r="B37" s="40">
        <f>B30/B29</f>
        <v>9.793700778498296E-2</v>
      </c>
      <c r="C37" s="40">
        <f>C30/C29</f>
        <v>8.9674719651577278E-2</v>
      </c>
      <c r="D37" s="40">
        <f>D30/D29</f>
        <v>0.11606308135417159</v>
      </c>
      <c r="E37" s="40">
        <f>E30/E29</f>
        <v>0.12749497137552221</v>
      </c>
      <c r="F37" s="40">
        <f>F30/F29</f>
        <v>0.13205436680695601</v>
      </c>
      <c r="I37" s="38" t="s">
        <v>151</v>
      </c>
    </row>
    <row r="38" spans="1:9" x14ac:dyDescent="0.3">
      <c r="A38" s="14" t="s">
        <v>152</v>
      </c>
      <c r="B38" s="41">
        <f>B25/B29</f>
        <v>0.26972958915416756</v>
      </c>
      <c r="C38" s="41">
        <f>C25/C29</f>
        <v>0.2709732667519511</v>
      </c>
      <c r="D38" s="41">
        <f>D25/D29</f>
        <v>0.38319797913027054</v>
      </c>
      <c r="E38" s="41">
        <f>E25/E29</f>
        <v>0.40170278944841842</v>
      </c>
      <c r="F38" s="41">
        <f>F25/F29</f>
        <v>0.4181158312343583</v>
      </c>
      <c r="I38" s="38" t="s">
        <v>153</v>
      </c>
    </row>
    <row r="40" spans="1:9" x14ac:dyDescent="0.3">
      <c r="A40" s="11" t="s">
        <v>154</v>
      </c>
      <c r="B40" s="12"/>
      <c r="C40" s="12"/>
      <c r="D40" s="12"/>
      <c r="E40" s="12"/>
      <c r="F40" s="12"/>
      <c r="G40" s="12"/>
      <c r="H40" s="12"/>
      <c r="I40" s="12"/>
    </row>
    <row r="41" spans="1:9" x14ac:dyDescent="0.3">
      <c r="A41" s="13" t="s">
        <v>110</v>
      </c>
      <c r="B41" s="13" t="s">
        <v>155</v>
      </c>
      <c r="C41" s="13" t="s">
        <v>156</v>
      </c>
      <c r="D41" s="13" t="s">
        <v>157</v>
      </c>
      <c r="E41" s="13" t="s">
        <v>158</v>
      </c>
      <c r="F41" s="13" t="s">
        <v>159</v>
      </c>
      <c r="G41" s="13" t="s">
        <v>160</v>
      </c>
      <c r="H41" s="13" t="s">
        <v>161</v>
      </c>
      <c r="I41" s="13" t="s">
        <v>116</v>
      </c>
    </row>
    <row r="42" spans="1:9" ht="24" x14ac:dyDescent="0.3">
      <c r="A42" s="14" t="s">
        <v>117</v>
      </c>
      <c r="B42" s="32">
        <v>591.15099999999995</v>
      </c>
      <c r="C42" s="32">
        <v>808.70899999999995</v>
      </c>
      <c r="D42" s="32">
        <v>716.23400000000004</v>
      </c>
      <c r="E42" s="32">
        <v>721.2</v>
      </c>
      <c r="F42" s="32">
        <v>741.55</v>
      </c>
      <c r="G42" s="32">
        <v>760.45399999999995</v>
      </c>
      <c r="H42" s="36">
        <f>F20-B42-C42+F42+G42</f>
        <v>2937.018</v>
      </c>
      <c r="I42" s="38" t="s">
        <v>162</v>
      </c>
    </row>
    <row r="43" spans="1:9" ht="24" x14ac:dyDescent="0.3">
      <c r="A43" s="14" t="s">
        <v>119</v>
      </c>
      <c r="B43" s="32">
        <v>145.482</v>
      </c>
      <c r="C43" s="32">
        <v>236.99</v>
      </c>
      <c r="D43" s="32">
        <v>202.18700000000001</v>
      </c>
      <c r="E43" s="32">
        <v>209.54300000000001</v>
      </c>
      <c r="F43" s="32">
        <v>212.41399999999999</v>
      </c>
      <c r="G43" s="32">
        <v>235.899</v>
      </c>
      <c r="H43" s="36">
        <f>F21-B43-C43+F43+G43</f>
        <v>862.82100000000003</v>
      </c>
      <c r="I43" s="38" t="s">
        <v>913</v>
      </c>
    </row>
    <row r="44" spans="1:9" x14ac:dyDescent="0.3">
      <c r="A44" s="14" t="s">
        <v>121</v>
      </c>
      <c r="B44" s="32">
        <v>102.32299999999999</v>
      </c>
      <c r="C44" s="32">
        <v>169.006</v>
      </c>
      <c r="D44" s="32">
        <v>182.05799999999999</v>
      </c>
      <c r="E44" s="32">
        <v>153.227</v>
      </c>
      <c r="F44" s="32">
        <v>138.01400000000001</v>
      </c>
      <c r="G44" s="32">
        <v>156.07900000000001</v>
      </c>
      <c r="H44" s="36">
        <f>F22-B44-C44+F44+G44</f>
        <v>629.37800000000016</v>
      </c>
      <c r="I44" s="38" t="s">
        <v>163</v>
      </c>
    </row>
    <row r="45" spans="1:9" x14ac:dyDescent="0.3">
      <c r="A45" s="14" t="s">
        <v>123</v>
      </c>
      <c r="B45" s="32">
        <v>10.348000000000001</v>
      </c>
      <c r="C45" s="32">
        <v>8.9719999999999995</v>
      </c>
      <c r="D45" s="32">
        <v>8.2479999999999993</v>
      </c>
      <c r="E45" s="32">
        <v>10.503</v>
      </c>
      <c r="F45" s="32">
        <v>9.32</v>
      </c>
      <c r="G45" s="32">
        <v>9.6620000000000008</v>
      </c>
      <c r="H45" s="36">
        <f>F23-B45-C45+F45+G45</f>
        <v>37.732999999999997</v>
      </c>
      <c r="I45" s="14" t="s">
        <v>124</v>
      </c>
    </row>
    <row r="46" spans="1:9" x14ac:dyDescent="0.3">
      <c r="A46" s="9" t="s">
        <v>164</v>
      </c>
      <c r="B46" s="37">
        <f t="shared" ref="B46:H46" si="0">B43-B44-B45</f>
        <v>32.811000000000007</v>
      </c>
      <c r="C46" s="37">
        <f t="shared" si="0"/>
        <v>59.012000000000008</v>
      </c>
      <c r="D46" s="37">
        <f t="shared" si="0"/>
        <v>11.88100000000002</v>
      </c>
      <c r="E46" s="37">
        <f t="shared" si="0"/>
        <v>45.813000000000002</v>
      </c>
      <c r="F46" s="37">
        <f t="shared" si="0"/>
        <v>65.079999999999984</v>
      </c>
      <c r="G46" s="37">
        <f t="shared" si="0"/>
        <v>70.157999999999987</v>
      </c>
      <c r="H46" s="37">
        <f t="shared" si="0"/>
        <v>195.70999999999987</v>
      </c>
    </row>
    <row r="47" spans="1:9" x14ac:dyDescent="0.3">
      <c r="A47" s="14" t="s">
        <v>165</v>
      </c>
      <c r="B47" s="32">
        <v>24.492999999999999</v>
      </c>
      <c r="C47" s="32">
        <v>27.658999999999999</v>
      </c>
      <c r="D47" s="32">
        <v>25.931999999999999</v>
      </c>
      <c r="E47" s="32">
        <v>25.832999999999998</v>
      </c>
      <c r="F47" s="32">
        <v>25.326000000000001</v>
      </c>
      <c r="G47" s="32">
        <v>27.978999999999999</v>
      </c>
      <c r="H47" s="36">
        <f>F25-B47-C47+F47+G47</f>
        <v>105.069</v>
      </c>
      <c r="I47" s="14" t="s">
        <v>128</v>
      </c>
    </row>
    <row r="48" spans="1:9" x14ac:dyDescent="0.3">
      <c r="A48" s="14" t="s">
        <v>166</v>
      </c>
      <c r="B48" s="32">
        <v>1.1659999999999999</v>
      </c>
      <c r="C48" s="32">
        <v>1.9810000000000001</v>
      </c>
      <c r="D48" s="32">
        <v>1.6919999999999999</v>
      </c>
      <c r="E48" s="32">
        <v>0.86799999999999999</v>
      </c>
      <c r="F48" s="32">
        <v>0.34100000000000003</v>
      </c>
      <c r="G48" s="32">
        <v>0</v>
      </c>
      <c r="H48" s="36">
        <f>F27-B48-C48+F48+G48</f>
        <v>2.9000000000000012</v>
      </c>
      <c r="I48" s="14" t="s">
        <v>132</v>
      </c>
    </row>
    <row r="49" spans="1:9" x14ac:dyDescent="0.3">
      <c r="A49" s="14" t="s">
        <v>135</v>
      </c>
      <c r="B49" s="32">
        <v>54.673000000000002</v>
      </c>
      <c r="C49" s="32">
        <v>86.522999999999996</v>
      </c>
      <c r="D49" s="32">
        <v>34.450000000000003</v>
      </c>
      <c r="E49" s="32">
        <v>72.887</v>
      </c>
      <c r="F49" s="32">
        <v>90.096999999999994</v>
      </c>
      <c r="G49" s="32">
        <v>98.144999999999996</v>
      </c>
      <c r="H49" s="36">
        <f t="shared" ref="H49:H54" si="1">F29-B49-C49+F49+G49</f>
        <v>295.58</v>
      </c>
      <c r="I49" s="14" t="s">
        <v>136</v>
      </c>
    </row>
    <row r="50" spans="1:9" x14ac:dyDescent="0.3">
      <c r="A50" s="14" t="s">
        <v>137</v>
      </c>
      <c r="B50" s="32">
        <v>6.9050000000000002</v>
      </c>
      <c r="C50" s="32">
        <v>10.781000000000001</v>
      </c>
      <c r="D50" s="32">
        <v>6.3860000000000001</v>
      </c>
      <c r="E50" s="32">
        <v>8.7479999999999993</v>
      </c>
      <c r="F50" s="32">
        <v>9.9779999999999998</v>
      </c>
      <c r="G50" s="32">
        <v>9.6379999999999999</v>
      </c>
      <c r="H50" s="36">
        <f t="shared" si="1"/>
        <v>34.75</v>
      </c>
      <c r="I50" s="14" t="s">
        <v>138</v>
      </c>
    </row>
    <row r="51" spans="1:9" x14ac:dyDescent="0.3">
      <c r="A51" s="9" t="s">
        <v>139</v>
      </c>
      <c r="B51" s="32">
        <v>47.768000000000001</v>
      </c>
      <c r="C51" s="32">
        <v>75.742000000000004</v>
      </c>
      <c r="D51" s="32">
        <v>28.064</v>
      </c>
      <c r="E51" s="32">
        <v>64.138999999999996</v>
      </c>
      <c r="F51" s="32">
        <v>80.119</v>
      </c>
      <c r="G51" s="32">
        <v>88.507000000000005</v>
      </c>
      <c r="H51" s="37">
        <f t="shared" si="1"/>
        <v>260.83</v>
      </c>
      <c r="I51" s="14" t="s">
        <v>140</v>
      </c>
    </row>
    <row r="52" spans="1:9" x14ac:dyDescent="0.3">
      <c r="A52" s="14" t="s">
        <v>141</v>
      </c>
      <c r="B52" s="32">
        <v>16.928000000000001</v>
      </c>
      <c r="C52" s="32">
        <v>17.224</v>
      </c>
      <c r="D52" s="32">
        <v>17.335000000000001</v>
      </c>
      <c r="E52" s="32">
        <v>17.276</v>
      </c>
      <c r="F52" s="32">
        <v>17.744</v>
      </c>
      <c r="G52" s="32">
        <v>17.71</v>
      </c>
      <c r="H52" s="36">
        <f t="shared" si="1"/>
        <v>70.064999999999998</v>
      </c>
      <c r="I52" s="14" t="s">
        <v>142</v>
      </c>
    </row>
    <row r="53" spans="1:9" x14ac:dyDescent="0.3">
      <c r="A53" s="14" t="s">
        <v>143</v>
      </c>
      <c r="B53" s="32">
        <v>-9.6690000000000005</v>
      </c>
      <c r="C53" s="32">
        <v>56.28</v>
      </c>
      <c r="D53" s="32">
        <v>136.87299999999999</v>
      </c>
      <c r="E53" s="32">
        <v>-0.112</v>
      </c>
      <c r="F53" s="32">
        <v>1.69</v>
      </c>
      <c r="G53" s="32">
        <v>96.414000000000001</v>
      </c>
      <c r="H53" s="36">
        <f t="shared" si="1"/>
        <v>232.34700000000004</v>
      </c>
      <c r="I53" s="14" t="s">
        <v>144</v>
      </c>
    </row>
    <row r="54" spans="1:9" x14ac:dyDescent="0.3">
      <c r="A54" s="14" t="s">
        <v>145</v>
      </c>
      <c r="B54" s="32">
        <v>-55.521000000000001</v>
      </c>
      <c r="C54" s="32">
        <v>-38.423000000000002</v>
      </c>
      <c r="D54" s="32">
        <v>-62.847000000000001</v>
      </c>
      <c r="E54" s="32">
        <v>-17.36</v>
      </c>
      <c r="F54" s="32">
        <v>-67.533000000000001</v>
      </c>
      <c r="G54" s="32">
        <v>-52.732999999999997</v>
      </c>
      <c r="H54" s="36">
        <f t="shared" si="1"/>
        <v>-200.47399999999999</v>
      </c>
      <c r="I54" s="14" t="s">
        <v>146</v>
      </c>
    </row>
    <row r="56" spans="1:9" x14ac:dyDescent="0.3">
      <c r="A56" s="11" t="s">
        <v>167</v>
      </c>
      <c r="B56" s="12"/>
      <c r="C56" s="12"/>
      <c r="D56" s="12"/>
      <c r="E56" s="12"/>
      <c r="F56" s="12"/>
      <c r="G56" s="12"/>
      <c r="H56" s="12"/>
      <c r="I56" s="12"/>
    </row>
    <row r="57" spans="1:9" x14ac:dyDescent="0.3">
      <c r="A57" s="13" t="s">
        <v>110</v>
      </c>
      <c r="B57" s="13" t="s">
        <v>168</v>
      </c>
      <c r="C57" s="13" t="s">
        <v>169</v>
      </c>
      <c r="D57" s="13"/>
      <c r="E57" s="13"/>
      <c r="F57" s="13"/>
      <c r="G57" s="13"/>
      <c r="H57" s="13"/>
      <c r="I57" s="13" t="s">
        <v>86</v>
      </c>
    </row>
    <row r="58" spans="1:9" x14ac:dyDescent="0.3">
      <c r="A58" s="14" t="s">
        <v>170</v>
      </c>
      <c r="B58" s="32">
        <v>36.951000000000001</v>
      </c>
      <c r="C58" s="32">
        <v>68.747</v>
      </c>
      <c r="I58" s="14" t="s">
        <v>171</v>
      </c>
    </row>
    <row r="59" spans="1:9" x14ac:dyDescent="0.3">
      <c r="A59" s="14" t="s">
        <v>172</v>
      </c>
      <c r="B59" s="32">
        <v>1485.127</v>
      </c>
      <c r="C59" s="32">
        <v>1329.79</v>
      </c>
      <c r="I59" s="14" t="s">
        <v>173</v>
      </c>
    </row>
    <row r="60" spans="1:9" x14ac:dyDescent="0.3">
      <c r="A60" s="14" t="s">
        <v>174</v>
      </c>
      <c r="B60" s="32">
        <v>25</v>
      </c>
      <c r="C60" s="32">
        <v>0</v>
      </c>
      <c r="I60" s="14" t="s">
        <v>175</v>
      </c>
    </row>
    <row r="61" spans="1:9" x14ac:dyDescent="0.3">
      <c r="A61" s="14" t="s">
        <v>176</v>
      </c>
      <c r="B61" s="32">
        <v>67</v>
      </c>
      <c r="C61" s="32">
        <v>0</v>
      </c>
      <c r="I61" s="14" t="s">
        <v>177</v>
      </c>
    </row>
    <row r="62" spans="1:9" x14ac:dyDescent="0.3">
      <c r="A62" s="14" t="s">
        <v>178</v>
      </c>
      <c r="B62" s="32">
        <v>0</v>
      </c>
      <c r="C62" s="32">
        <v>0</v>
      </c>
      <c r="I62" s="14" t="s">
        <v>179</v>
      </c>
    </row>
    <row r="63" spans="1:9" ht="24" x14ac:dyDescent="0.3">
      <c r="A63" s="9" t="s">
        <v>180</v>
      </c>
      <c r="B63" s="37">
        <f>B58+B59+B60</f>
        <v>1547.078</v>
      </c>
      <c r="C63" s="37">
        <f>C58+C59+C60</f>
        <v>1398.537</v>
      </c>
      <c r="I63" s="38" t="s">
        <v>181</v>
      </c>
    </row>
    <row r="64" spans="1:9" x14ac:dyDescent="0.3">
      <c r="A64" s="14" t="s">
        <v>182</v>
      </c>
      <c r="B64" s="36">
        <f>B61+B62</f>
        <v>67</v>
      </c>
      <c r="C64" s="36">
        <f>C61+C62</f>
        <v>0</v>
      </c>
    </row>
    <row r="65" spans="1:9" ht="24" x14ac:dyDescent="0.3">
      <c r="A65" s="9" t="s">
        <v>183</v>
      </c>
      <c r="B65" s="37">
        <f>B63-B64</f>
        <v>1480.078</v>
      </c>
      <c r="C65" s="37">
        <f>C63-C64</f>
        <v>1398.537</v>
      </c>
      <c r="I65" s="38" t="s">
        <v>184</v>
      </c>
    </row>
    <row r="66" spans="1:9" x14ac:dyDescent="0.3">
      <c r="A66" s="14" t="s">
        <v>778</v>
      </c>
      <c r="B66" s="32">
        <v>23.951000000000001</v>
      </c>
      <c r="C66" s="32">
        <v>23.984000000000002</v>
      </c>
      <c r="I66" s="14" t="s">
        <v>779</v>
      </c>
    </row>
    <row r="67" spans="1:9" x14ac:dyDescent="0.3">
      <c r="A67" s="9" t="s">
        <v>185</v>
      </c>
      <c r="B67" s="32">
        <v>2279.326</v>
      </c>
      <c r="C67" s="32">
        <v>2321.0889999999999</v>
      </c>
      <c r="I67" s="14" t="s">
        <v>186</v>
      </c>
    </row>
    <row r="68" spans="1:9" x14ac:dyDescent="0.3">
      <c r="A68" s="14" t="s">
        <v>187</v>
      </c>
      <c r="B68" s="32">
        <v>311.59899999999999</v>
      </c>
      <c r="C68" s="32">
        <v>415.32100000000003</v>
      </c>
      <c r="I68" s="14" t="s">
        <v>188</v>
      </c>
    </row>
    <row r="69" spans="1:9" x14ac:dyDescent="0.3">
      <c r="A69" s="14" t="s">
        <v>189</v>
      </c>
      <c r="B69" s="32">
        <v>31.077000000000002</v>
      </c>
      <c r="C69" s="32">
        <v>31.077000000000002</v>
      </c>
      <c r="I69" s="14" t="s">
        <v>188</v>
      </c>
    </row>
    <row r="70" spans="1:9" x14ac:dyDescent="0.3">
      <c r="A70" s="14" t="s">
        <v>190</v>
      </c>
      <c r="B70" s="32">
        <v>12.23</v>
      </c>
      <c r="C70" s="32">
        <v>12.919</v>
      </c>
      <c r="I70" s="14" t="s">
        <v>188</v>
      </c>
    </row>
    <row r="71" spans="1:9" x14ac:dyDescent="0.3">
      <c r="A71" s="9" t="s">
        <v>191</v>
      </c>
      <c r="B71" s="37">
        <f>SUM(B68:B70)</f>
        <v>354.90600000000001</v>
      </c>
      <c r="C71" s="37">
        <f>SUM(C68:C70)</f>
        <v>459.31700000000001</v>
      </c>
    </row>
    <row r="72" spans="1:9" x14ac:dyDescent="0.3">
      <c r="A72" s="14" t="s">
        <v>192</v>
      </c>
      <c r="B72" s="32">
        <v>354.90600000000001</v>
      </c>
      <c r="C72" s="32">
        <v>459.31700000000001</v>
      </c>
      <c r="I72" s="9" t="str">
        <f>IF(AND(ABS(B72-B71)&lt;0.01,ABS(C72-C71)&lt;0.01),"KHỚP thuyết minh","LỆCH")</f>
        <v>KHỚP thuyết minh</v>
      </c>
    </row>
    <row r="73" spans="1:9" ht="24" x14ac:dyDescent="0.3">
      <c r="A73" s="9" t="s">
        <v>193</v>
      </c>
      <c r="B73" s="37">
        <f>B67-B65-B71</f>
        <v>444.34200000000004</v>
      </c>
      <c r="C73" s="37">
        <f>C67-C65-C71</f>
        <v>463.2349999999999</v>
      </c>
      <c r="I73" s="38" t="s">
        <v>194</v>
      </c>
    </row>
    <row r="74" spans="1:9" x14ac:dyDescent="0.3">
      <c r="A74" s="9" t="s">
        <v>195</v>
      </c>
      <c r="C74" s="42">
        <f>C67*1000/B8</f>
        <v>21100.80909090909</v>
      </c>
    </row>
    <row r="76" spans="1:9" x14ac:dyDescent="0.3">
      <c r="A76" s="11" t="s">
        <v>196</v>
      </c>
      <c r="B76" s="12"/>
      <c r="C76" s="12"/>
      <c r="D76" s="12"/>
      <c r="E76" s="12"/>
      <c r="F76" s="12"/>
      <c r="G76" s="12"/>
      <c r="H76" s="12"/>
      <c r="I76" s="12"/>
    </row>
    <row r="77" spans="1:9" x14ac:dyDescent="0.3">
      <c r="A77" s="13" t="s">
        <v>83</v>
      </c>
      <c r="B77" s="13" t="s">
        <v>113</v>
      </c>
      <c r="C77" s="13" t="s">
        <v>114</v>
      </c>
      <c r="D77" s="13" t="s">
        <v>115</v>
      </c>
      <c r="E77" s="13" t="s">
        <v>197</v>
      </c>
      <c r="F77" s="13" t="s">
        <v>198</v>
      </c>
      <c r="G77" s="13"/>
      <c r="H77" s="13"/>
      <c r="I77" s="13" t="s">
        <v>86</v>
      </c>
    </row>
    <row r="78" spans="1:9" x14ac:dyDescent="0.3">
      <c r="A78" s="14" t="s">
        <v>199</v>
      </c>
      <c r="B78" s="32">
        <v>2272.8000000000002</v>
      </c>
      <c r="C78" s="32">
        <v>1899.5</v>
      </c>
      <c r="D78" s="32">
        <v>1722.4</v>
      </c>
    </row>
    <row r="79" spans="1:9" x14ac:dyDescent="0.3">
      <c r="A79" s="14" t="s">
        <v>200</v>
      </c>
      <c r="B79" s="32">
        <v>425.3</v>
      </c>
      <c r="C79" s="32">
        <v>572.6</v>
      </c>
      <c r="D79" s="32">
        <v>615.1</v>
      </c>
    </row>
    <row r="80" spans="1:9" x14ac:dyDescent="0.3">
      <c r="A80" s="14" t="s">
        <v>201</v>
      </c>
      <c r="B80" s="32">
        <v>412.5</v>
      </c>
      <c r="C80" s="32">
        <v>418</v>
      </c>
      <c r="D80" s="32">
        <v>424.4</v>
      </c>
    </row>
    <row r="81" spans="1:9" x14ac:dyDescent="0.3">
      <c r="A81" s="14" t="s">
        <v>202</v>
      </c>
      <c r="B81" s="32">
        <v>0</v>
      </c>
      <c r="C81" s="32">
        <v>0</v>
      </c>
      <c r="D81" s="32">
        <v>48.1</v>
      </c>
    </row>
    <row r="82" spans="1:9" x14ac:dyDescent="0.3">
      <c r="A82" s="14" t="s">
        <v>203</v>
      </c>
      <c r="B82" s="32">
        <v>24.9</v>
      </c>
      <c r="C82" s="32">
        <v>26.8</v>
      </c>
      <c r="D82" s="32">
        <v>24.8</v>
      </c>
    </row>
    <row r="83" spans="1:9" x14ac:dyDescent="0.3">
      <c r="A83" s="14" t="s">
        <v>204</v>
      </c>
      <c r="B83" s="36">
        <f>SUM(B78:B82)</f>
        <v>3135.5000000000005</v>
      </c>
      <c r="C83" s="36">
        <f>SUM(C78:C82)</f>
        <v>2916.9</v>
      </c>
      <c r="D83" s="36">
        <f>SUM(D78:D82)</f>
        <v>2834.8</v>
      </c>
      <c r="I83" s="17" t="s">
        <v>205</v>
      </c>
    </row>
    <row r="84" spans="1:9" x14ac:dyDescent="0.3">
      <c r="A84" s="14" t="s">
        <v>206</v>
      </c>
      <c r="B84" s="43">
        <f>D20</f>
        <v>3135.4229999999998</v>
      </c>
      <c r="C84" s="43">
        <f>E20</f>
        <v>2916.9580000000001</v>
      </c>
      <c r="D84" s="43">
        <f>F20</f>
        <v>2834.8739999999998</v>
      </c>
      <c r="E84" s="43">
        <f>B42+C42</f>
        <v>1399.86</v>
      </c>
      <c r="F84" s="43">
        <f>F42+G42</f>
        <v>1502.0039999999999</v>
      </c>
    </row>
    <row r="85" spans="1:9" ht="36" x14ac:dyDescent="0.3">
      <c r="A85" s="9" t="s">
        <v>207</v>
      </c>
      <c r="B85" s="32">
        <v>425.3</v>
      </c>
      <c r="C85" s="32">
        <v>572.83000000000004</v>
      </c>
      <c r="D85" s="32">
        <v>668.08799999999997</v>
      </c>
      <c r="E85" s="32">
        <v>358.32400000000001</v>
      </c>
      <c r="F85" s="32">
        <v>327.44099999999997</v>
      </c>
      <c r="I85" s="38" t="s">
        <v>208</v>
      </c>
    </row>
    <row r="86" spans="1:9" x14ac:dyDescent="0.3">
      <c r="A86" s="9" t="s">
        <v>209</v>
      </c>
      <c r="B86" s="37">
        <f>B84-B85</f>
        <v>2710.1229999999996</v>
      </c>
      <c r="C86" s="37">
        <f>C84-C85</f>
        <v>2344.1280000000002</v>
      </c>
      <c r="D86" s="37">
        <f>D84-D85</f>
        <v>2166.7860000000001</v>
      </c>
      <c r="E86" s="37">
        <f>E84-E85</f>
        <v>1041.5359999999998</v>
      </c>
      <c r="F86" s="37">
        <f>F84-F85</f>
        <v>1174.5629999999999</v>
      </c>
      <c r="I86" s="38" t="s">
        <v>210</v>
      </c>
    </row>
    <row r="87" spans="1:9" x14ac:dyDescent="0.3">
      <c r="A87" s="14" t="s">
        <v>119</v>
      </c>
      <c r="B87" s="43">
        <f t="shared" ref="B87:D88" si="2">D21</f>
        <v>1008.6180000000001</v>
      </c>
      <c r="C87" s="43">
        <f t="shared" si="2"/>
        <v>848.54499999999996</v>
      </c>
      <c r="D87" s="43">
        <f t="shared" si="2"/>
        <v>796.98</v>
      </c>
      <c r="E87" s="43">
        <f>B43+C43</f>
        <v>382.47199999999998</v>
      </c>
      <c r="F87" s="43">
        <f>F43+G43</f>
        <v>448.31299999999999</v>
      </c>
    </row>
    <row r="88" spans="1:9" x14ac:dyDescent="0.3">
      <c r="A88" s="14" t="s">
        <v>121</v>
      </c>
      <c r="B88" s="43">
        <f t="shared" si="2"/>
        <v>708.87900000000002</v>
      </c>
      <c r="C88" s="43">
        <f t="shared" si="2"/>
        <v>657.04600000000005</v>
      </c>
      <c r="D88" s="43">
        <f t="shared" si="2"/>
        <v>606.61400000000003</v>
      </c>
      <c r="E88" s="43">
        <f>B44+C44</f>
        <v>271.32900000000001</v>
      </c>
      <c r="F88" s="43">
        <f>F44+G44</f>
        <v>294.09300000000002</v>
      </c>
    </row>
    <row r="89" spans="1:9" x14ac:dyDescent="0.3">
      <c r="A89" s="14" t="s">
        <v>211</v>
      </c>
      <c r="B89" s="40">
        <f>B85/B84</f>
        <v>0.13564357982957961</v>
      </c>
      <c r="C89" s="40">
        <f>C85/C84</f>
        <v>0.19637924166203286</v>
      </c>
      <c r="D89" s="40">
        <f>D85/D84</f>
        <v>0.23566761697345279</v>
      </c>
      <c r="E89" s="40">
        <f>E85/E84</f>
        <v>0.25597131141685597</v>
      </c>
      <c r="F89" s="40">
        <f>F85/F84</f>
        <v>0.21800274832823346</v>
      </c>
    </row>
    <row r="90" spans="1:9" x14ac:dyDescent="0.3">
      <c r="A90" s="14" t="s">
        <v>212</v>
      </c>
      <c r="F90" s="44">
        <f>F86/E86-1</f>
        <v>0.12772194144033433</v>
      </c>
      <c r="I90" s="38" t="s">
        <v>213</v>
      </c>
    </row>
    <row r="92" spans="1:9" x14ac:dyDescent="0.3">
      <c r="A92" s="11" t="s">
        <v>214</v>
      </c>
      <c r="B92" s="12"/>
      <c r="C92" s="12"/>
      <c r="D92" s="12"/>
      <c r="E92" s="12"/>
      <c r="F92" s="12"/>
      <c r="G92" s="12"/>
      <c r="H92" s="12"/>
      <c r="I92" s="12"/>
    </row>
    <row r="93" spans="1:9" ht="28.8" x14ac:dyDescent="0.3">
      <c r="A93" s="13" t="s">
        <v>215</v>
      </c>
      <c r="B93" s="13" t="s">
        <v>216</v>
      </c>
      <c r="C93" s="13" t="s">
        <v>217</v>
      </c>
      <c r="D93" s="13" t="s">
        <v>218</v>
      </c>
      <c r="E93" s="13" t="s">
        <v>219</v>
      </c>
      <c r="F93" s="13"/>
      <c r="G93" s="13"/>
      <c r="H93" s="13"/>
      <c r="I93" s="13" t="s">
        <v>11</v>
      </c>
    </row>
    <row r="94" spans="1:9" x14ac:dyDescent="0.3">
      <c r="A94" s="14">
        <v>2017</v>
      </c>
      <c r="B94" s="32">
        <v>766.78200000000004</v>
      </c>
    </row>
    <row r="95" spans="1:9" x14ac:dyDescent="0.3">
      <c r="A95" s="14">
        <v>2018</v>
      </c>
      <c r="B95" s="32">
        <v>767.85199999999998</v>
      </c>
      <c r="C95" s="32">
        <v>180.64099999999999</v>
      </c>
      <c r="D95" s="36">
        <f t="shared" ref="D95:D102" si="3">(B94+B95)/2</f>
        <v>767.31700000000001</v>
      </c>
      <c r="E95" s="44">
        <f t="shared" ref="E95:E102" si="4">C95/D95</f>
        <v>0.23541899892743154</v>
      </c>
    </row>
    <row r="96" spans="1:9" x14ac:dyDescent="0.3">
      <c r="A96" s="14">
        <v>2019</v>
      </c>
      <c r="B96" s="32">
        <v>726.74</v>
      </c>
      <c r="C96" s="32">
        <v>166.94200000000001</v>
      </c>
      <c r="D96" s="36">
        <f t="shared" si="3"/>
        <v>747.29600000000005</v>
      </c>
      <c r="E96" s="44">
        <f t="shared" si="4"/>
        <v>0.22339474585706331</v>
      </c>
    </row>
    <row r="97" spans="1:9" x14ac:dyDescent="0.3">
      <c r="A97" s="14">
        <v>2020</v>
      </c>
      <c r="B97" s="32">
        <v>911.91</v>
      </c>
      <c r="C97" s="32">
        <v>280.73500000000001</v>
      </c>
      <c r="D97" s="36">
        <f t="shared" si="3"/>
        <v>819.32500000000005</v>
      </c>
      <c r="E97" s="44">
        <f t="shared" si="4"/>
        <v>0.34264180880602935</v>
      </c>
      <c r="I97" s="17" t="s">
        <v>220</v>
      </c>
    </row>
    <row r="98" spans="1:9" x14ac:dyDescent="0.3">
      <c r="A98" s="14">
        <v>2021</v>
      </c>
      <c r="B98" s="32">
        <v>2173.3850000000002</v>
      </c>
      <c r="C98" s="43">
        <f>B31</f>
        <v>319.11200000000002</v>
      </c>
      <c r="D98" s="36">
        <f t="shared" si="3"/>
        <v>1542.6475</v>
      </c>
      <c r="E98" s="44">
        <f t="shared" si="4"/>
        <v>0.20685995990658917</v>
      </c>
      <c r="I98" s="17" t="s">
        <v>221</v>
      </c>
    </row>
    <row r="99" spans="1:9" x14ac:dyDescent="0.3">
      <c r="A99" s="14">
        <v>2022</v>
      </c>
      <c r="B99" s="32">
        <v>2210.279</v>
      </c>
      <c r="C99" s="43">
        <f>C31</f>
        <v>346.54899999999998</v>
      </c>
      <c r="D99" s="36">
        <f t="shared" si="3"/>
        <v>2191.8320000000003</v>
      </c>
      <c r="E99" s="44">
        <f t="shared" si="4"/>
        <v>0.15810928939809252</v>
      </c>
    </row>
    <row r="100" spans="1:9" x14ac:dyDescent="0.3">
      <c r="A100" s="14">
        <v>2023</v>
      </c>
      <c r="B100" s="32">
        <v>2327.2550000000001</v>
      </c>
      <c r="C100" s="43">
        <f>D31</f>
        <v>374.41699999999997</v>
      </c>
      <c r="D100" s="36">
        <f t="shared" si="3"/>
        <v>2268.7669999999998</v>
      </c>
      <c r="E100" s="44">
        <f t="shared" si="4"/>
        <v>0.16503104990508061</v>
      </c>
    </row>
    <row r="101" spans="1:9" x14ac:dyDescent="0.3">
      <c r="A101" s="14">
        <v>2024</v>
      </c>
      <c r="B101" s="32">
        <v>2305.1840000000002</v>
      </c>
      <c r="C101" s="43">
        <f>E31</f>
        <v>219.92099999999999</v>
      </c>
      <c r="D101" s="36">
        <f t="shared" si="3"/>
        <v>2316.2195000000002</v>
      </c>
      <c r="E101" s="44">
        <f t="shared" si="4"/>
        <v>9.4948255120035033E-2</v>
      </c>
      <c r="I101" s="17" t="s">
        <v>222</v>
      </c>
    </row>
    <row r="102" spans="1:9" x14ac:dyDescent="0.3">
      <c r="A102" s="14">
        <v>2025</v>
      </c>
      <c r="B102" s="32">
        <v>2279.326</v>
      </c>
      <c r="C102" s="43">
        <f>F31</f>
        <v>215.714</v>
      </c>
      <c r="D102" s="36">
        <f t="shared" si="3"/>
        <v>2292.2550000000001</v>
      </c>
      <c r="E102" s="44">
        <f t="shared" si="4"/>
        <v>9.4105585984107343E-2</v>
      </c>
      <c r="I102" s="17" t="s">
        <v>223</v>
      </c>
    </row>
    <row r="103" spans="1:9" x14ac:dyDescent="0.3">
      <c r="A103" s="9" t="s">
        <v>224</v>
      </c>
      <c r="E103" s="44">
        <f>H51/AVERAGE(2306.343,C67)</f>
        <v>0.11273207256206033</v>
      </c>
    </row>
    <row r="104" spans="1:9" ht="24" x14ac:dyDescent="0.3">
      <c r="A104" s="9" t="s">
        <v>225</v>
      </c>
      <c r="E104" s="44">
        <f>AVERAGE(E99:E102)</f>
        <v>0.12804854510182886</v>
      </c>
      <c r="I104" s="38" t="s">
        <v>226</v>
      </c>
    </row>
    <row r="105" spans="1:9" x14ac:dyDescent="0.3">
      <c r="A105" s="9" t="s">
        <v>227</v>
      </c>
      <c r="E105" s="44">
        <f>AVERAGE(E95:E102)</f>
        <v>0.19006371173805361</v>
      </c>
    </row>
    <row r="106" spans="1:9" x14ac:dyDescent="0.3">
      <c r="A106" s="9" t="s">
        <v>228</v>
      </c>
      <c r="E106" s="44">
        <f>MEDIAN(E95:E102)</f>
        <v>0.18594550490583489</v>
      </c>
    </row>
    <row r="108" spans="1:9" x14ac:dyDescent="0.3">
      <c r="A108" s="11" t="s">
        <v>229</v>
      </c>
      <c r="B108" s="12"/>
      <c r="C108" s="12"/>
      <c r="D108" s="12"/>
      <c r="E108" s="12"/>
      <c r="F108" s="12"/>
      <c r="G108" s="12"/>
      <c r="H108" s="12"/>
      <c r="I108" s="12"/>
    </row>
    <row r="109" spans="1:9" ht="28.8" x14ac:dyDescent="0.3">
      <c r="A109" s="13" t="s">
        <v>83</v>
      </c>
      <c r="B109" s="13" t="s">
        <v>84</v>
      </c>
      <c r="C109" s="13" t="s">
        <v>85</v>
      </c>
      <c r="D109" s="13" t="s">
        <v>86</v>
      </c>
      <c r="E109" s="13"/>
      <c r="F109" s="13"/>
      <c r="G109" s="13"/>
      <c r="H109" s="13"/>
      <c r="I109" s="13"/>
    </row>
    <row r="110" spans="1:9" x14ac:dyDescent="0.3">
      <c r="A110" s="14" t="s">
        <v>230</v>
      </c>
      <c r="B110" s="32">
        <v>1120</v>
      </c>
      <c r="C110" s="14" t="s">
        <v>94</v>
      </c>
      <c r="D110" s="14" t="s">
        <v>231</v>
      </c>
    </row>
    <row r="111" spans="1:9" x14ac:dyDescent="0.3">
      <c r="A111" s="14" t="s">
        <v>232</v>
      </c>
      <c r="B111" s="32">
        <v>700</v>
      </c>
      <c r="C111" s="14" t="s">
        <v>94</v>
      </c>
      <c r="D111" s="14" t="s">
        <v>233</v>
      </c>
    </row>
    <row r="112" spans="1:9" x14ac:dyDescent="0.3">
      <c r="A112" s="14" t="s">
        <v>234</v>
      </c>
      <c r="B112" s="32">
        <v>300</v>
      </c>
      <c r="C112" s="14" t="s">
        <v>94</v>
      </c>
      <c r="D112" s="14" t="s">
        <v>235</v>
      </c>
    </row>
    <row r="113" spans="1:4" x14ac:dyDescent="0.3">
      <c r="A113" s="14" t="s">
        <v>236</v>
      </c>
      <c r="B113" s="32">
        <v>20</v>
      </c>
      <c r="C113" s="14" t="s">
        <v>237</v>
      </c>
      <c r="D113" s="14" t="s">
        <v>238</v>
      </c>
    </row>
    <row r="114" spans="1:4" x14ac:dyDescent="0.3">
      <c r="A114" s="14" t="s">
        <v>239</v>
      </c>
      <c r="B114" s="35" t="s">
        <v>240</v>
      </c>
      <c r="D114" s="14" t="s">
        <v>241</v>
      </c>
    </row>
    <row r="115" spans="1:4" x14ac:dyDescent="0.3">
      <c r="A115" s="14" t="s">
        <v>242</v>
      </c>
      <c r="B115" s="32">
        <v>40.927</v>
      </c>
      <c r="C115" s="14" t="s">
        <v>94</v>
      </c>
      <c r="D115" s="14" t="s">
        <v>243</v>
      </c>
    </row>
    <row r="116" spans="1:4" x14ac:dyDescent="0.3">
      <c r="A116" s="14" t="s">
        <v>244</v>
      </c>
      <c r="B116" s="32">
        <v>2000</v>
      </c>
      <c r="C116" s="14" t="s">
        <v>94</v>
      </c>
      <c r="D116" s="14" t="s">
        <v>245</v>
      </c>
    </row>
    <row r="117" spans="1:4" x14ac:dyDescent="0.3">
      <c r="A117" s="14" t="s">
        <v>246</v>
      </c>
      <c r="B117" s="32">
        <v>743</v>
      </c>
      <c r="C117" s="14" t="s">
        <v>94</v>
      </c>
      <c r="D117" s="14" t="s">
        <v>247</v>
      </c>
    </row>
    <row r="118" spans="1:4" x14ac:dyDescent="0.3">
      <c r="A118" s="14" t="s">
        <v>248</v>
      </c>
      <c r="B118" s="32">
        <v>1257</v>
      </c>
      <c r="C118" s="14" t="s">
        <v>94</v>
      </c>
      <c r="D118" s="14" t="s">
        <v>249</v>
      </c>
    </row>
    <row r="119" spans="1:4" x14ac:dyDescent="0.3">
      <c r="A119" s="14" t="s">
        <v>239</v>
      </c>
      <c r="B119" s="35" t="s">
        <v>250</v>
      </c>
      <c r="D119" s="14" t="s">
        <v>251</v>
      </c>
    </row>
    <row r="120" spans="1:4" x14ac:dyDescent="0.3">
      <c r="A120" s="14" t="s">
        <v>252</v>
      </c>
      <c r="B120" s="32">
        <v>31.923999999999999</v>
      </c>
      <c r="C120" s="14" t="s">
        <v>94</v>
      </c>
      <c r="D120" s="14" t="s">
        <v>253</v>
      </c>
    </row>
    <row r="121" spans="1:4" x14ac:dyDescent="0.3">
      <c r="A121" s="14" t="s">
        <v>254</v>
      </c>
      <c r="B121" s="34">
        <v>200</v>
      </c>
      <c r="C121" s="14" t="s">
        <v>255</v>
      </c>
      <c r="D121" s="14" t="s">
        <v>256</v>
      </c>
    </row>
    <row r="122" spans="1:4" x14ac:dyDescent="0.3">
      <c r="A122" s="14" t="s">
        <v>257</v>
      </c>
      <c r="B122" s="32">
        <v>397.37200000000001</v>
      </c>
      <c r="C122" s="14" t="s">
        <v>94</v>
      </c>
      <c r="D122" s="14" t="s">
        <v>258</v>
      </c>
    </row>
    <row r="123" spans="1:4" x14ac:dyDescent="0.3">
      <c r="A123" s="14" t="s">
        <v>259</v>
      </c>
      <c r="B123" s="32">
        <v>558.78</v>
      </c>
      <c r="C123" s="14" t="s">
        <v>94</v>
      </c>
      <c r="D123" s="14" t="s">
        <v>260</v>
      </c>
    </row>
    <row r="124" spans="1:4" x14ac:dyDescent="0.3">
      <c r="A124" s="14" t="s">
        <v>261</v>
      </c>
      <c r="B124" s="32">
        <v>19.126000000000001</v>
      </c>
      <c r="C124" s="14" t="s">
        <v>94</v>
      </c>
      <c r="D124" s="14" t="s">
        <v>262</v>
      </c>
    </row>
    <row r="125" spans="1:4" x14ac:dyDescent="0.3">
      <c r="A125" s="14" t="s">
        <v>263</v>
      </c>
      <c r="B125" s="32">
        <v>75.5</v>
      </c>
      <c r="C125" s="14" t="s">
        <v>264</v>
      </c>
      <c r="D125" s="14" t="s">
        <v>265</v>
      </c>
    </row>
    <row r="126" spans="1:4" x14ac:dyDescent="0.3">
      <c r="A126" s="14" t="s">
        <v>876</v>
      </c>
      <c r="B126" s="109">
        <v>25500</v>
      </c>
      <c r="C126" s="14" t="s">
        <v>877</v>
      </c>
      <c r="D126" s="14" t="s">
        <v>878</v>
      </c>
    </row>
    <row r="127" spans="1:4" x14ac:dyDescent="0.3">
      <c r="A127" s="14" t="s">
        <v>879</v>
      </c>
      <c r="B127" s="109">
        <v>27000</v>
      </c>
      <c r="C127" s="14" t="s">
        <v>877</v>
      </c>
      <c r="D127" s="14" t="s">
        <v>880</v>
      </c>
    </row>
    <row r="128" spans="1:4" x14ac:dyDescent="0.3">
      <c r="A128" s="14" t="s">
        <v>881</v>
      </c>
      <c r="B128" s="109">
        <v>26077</v>
      </c>
      <c r="C128" s="14" t="s">
        <v>877</v>
      </c>
      <c r="D128" s="14" t="s">
        <v>882</v>
      </c>
    </row>
    <row r="129" spans="1:9" x14ac:dyDescent="0.3">
      <c r="A129" s="14" t="s">
        <v>883</v>
      </c>
      <c r="B129" s="109">
        <v>455</v>
      </c>
      <c r="C129" s="14" t="s">
        <v>884</v>
      </c>
      <c r="D129" s="14" t="s">
        <v>885</v>
      </c>
    </row>
    <row r="130" spans="1:9" x14ac:dyDescent="0.3">
      <c r="A130" s="14" t="s">
        <v>886</v>
      </c>
      <c r="B130" s="32" t="s">
        <v>887</v>
      </c>
      <c r="C130" s="14" t="s">
        <v>888</v>
      </c>
      <c r="D130" s="14" t="s">
        <v>889</v>
      </c>
    </row>
    <row r="132" spans="1:9" x14ac:dyDescent="0.3">
      <c r="A132" s="11" t="s">
        <v>266</v>
      </c>
      <c r="B132" s="12"/>
      <c r="C132" s="12"/>
      <c r="D132" s="12"/>
      <c r="E132" s="12"/>
      <c r="F132" s="12"/>
      <c r="G132" s="12"/>
      <c r="H132" s="12"/>
      <c r="I132" s="12"/>
    </row>
    <row r="133" spans="1:9" ht="28.8" x14ac:dyDescent="0.3">
      <c r="A133" s="13" t="s">
        <v>83</v>
      </c>
      <c r="B133" s="13" t="s">
        <v>84</v>
      </c>
      <c r="C133" s="13" t="s">
        <v>85</v>
      </c>
      <c r="D133" s="13" t="s">
        <v>86</v>
      </c>
      <c r="E133" s="13"/>
      <c r="F133" s="13"/>
      <c r="G133" s="13"/>
      <c r="H133" s="13"/>
      <c r="I133" s="13"/>
    </row>
    <row r="134" spans="1:9" x14ac:dyDescent="0.3">
      <c r="A134" s="14" t="s">
        <v>267</v>
      </c>
      <c r="B134" s="32">
        <v>21.571000000000002</v>
      </c>
      <c r="C134" s="14" t="s">
        <v>94</v>
      </c>
      <c r="D134" s="14" t="s">
        <v>268</v>
      </c>
      <c r="E134" s="40">
        <f>B134/F31</f>
        <v>9.9998145692908214E-2</v>
      </c>
    </row>
    <row r="135" spans="1:9" x14ac:dyDescent="0.3">
      <c r="A135" s="14" t="s">
        <v>269</v>
      </c>
      <c r="B135" s="34">
        <v>2000</v>
      </c>
      <c r="C135" s="14" t="s">
        <v>270</v>
      </c>
      <c r="D135" s="14" t="s">
        <v>271</v>
      </c>
    </row>
    <row r="136" spans="1:9" x14ac:dyDescent="0.3">
      <c r="A136" s="14" t="s">
        <v>272</v>
      </c>
      <c r="B136" s="45">
        <v>0.68149999999999999</v>
      </c>
      <c r="D136" s="14" t="s">
        <v>273</v>
      </c>
    </row>
    <row r="137" spans="1:9" x14ac:dyDescent="0.3">
      <c r="A137" s="14" t="s">
        <v>274</v>
      </c>
      <c r="B137" s="35" t="s">
        <v>275</v>
      </c>
      <c r="D137" s="14" t="s">
        <v>276</v>
      </c>
    </row>
    <row r="138" spans="1:9" x14ac:dyDescent="0.3">
      <c r="A138" s="14" t="s">
        <v>277</v>
      </c>
      <c r="B138" s="32">
        <v>3126.4</v>
      </c>
      <c r="C138" s="14" t="s">
        <v>94</v>
      </c>
      <c r="D138" s="14" t="s">
        <v>278</v>
      </c>
    </row>
    <row r="139" spans="1:9" x14ac:dyDescent="0.3">
      <c r="A139" s="14" t="s">
        <v>279</v>
      </c>
      <c r="B139" s="32">
        <v>241</v>
      </c>
      <c r="C139" s="14" t="s">
        <v>94</v>
      </c>
      <c r="D139" s="14" t="s">
        <v>280</v>
      </c>
    </row>
    <row r="140" spans="1:9" x14ac:dyDescent="0.3">
      <c r="A140" s="14" t="s">
        <v>281</v>
      </c>
      <c r="B140" s="32">
        <v>99.96</v>
      </c>
      <c r="C140" s="14" t="s">
        <v>94</v>
      </c>
      <c r="D140" s="14" t="s">
        <v>282</v>
      </c>
    </row>
    <row r="141" spans="1:9" x14ac:dyDescent="0.3">
      <c r="A141" s="14" t="s">
        <v>283</v>
      </c>
      <c r="B141" s="32">
        <v>1639.268</v>
      </c>
      <c r="C141" s="14" t="s">
        <v>94</v>
      </c>
      <c r="D141" s="14" t="s">
        <v>284</v>
      </c>
    </row>
    <row r="142" spans="1:9" x14ac:dyDescent="0.3">
      <c r="A142" s="14" t="s">
        <v>285</v>
      </c>
      <c r="B142" s="32">
        <v>1492.951</v>
      </c>
      <c r="C142" s="14" t="s">
        <v>94</v>
      </c>
      <c r="D142" s="14" t="s">
        <v>286</v>
      </c>
    </row>
    <row r="143" spans="1:9" x14ac:dyDescent="0.3">
      <c r="A143" s="14" t="s">
        <v>287</v>
      </c>
      <c r="B143" s="40">
        <f>B140/AVERAGE(B141,B142)</f>
        <v>6.3826954628651442E-2</v>
      </c>
    </row>
    <row r="144" spans="1:9" x14ac:dyDescent="0.3">
      <c r="A144" s="14" t="s">
        <v>288</v>
      </c>
      <c r="B144" s="46">
        <v>13.89</v>
      </c>
      <c r="C144" s="14" t="s">
        <v>289</v>
      </c>
      <c r="D144" s="14" t="s">
        <v>290</v>
      </c>
    </row>
    <row r="145" spans="1:4" x14ac:dyDescent="0.3">
      <c r="A145" s="14" t="s">
        <v>291</v>
      </c>
      <c r="B145" s="46">
        <v>1.34</v>
      </c>
      <c r="C145" s="14" t="s">
        <v>289</v>
      </c>
      <c r="D145" s="14" t="s">
        <v>292</v>
      </c>
    </row>
  </sheetData>
  <pageMargins left="0.4" right="0.4" top="0.7" bottom="0.6" header="0.5" footer="0.5"/>
  <pageSetup scale="45" fitToHeight="0" orientation="landscape" r:id="rId1"/>
  <headerFooter>
    <oddHeader>&amp;R&amp;A&amp;LMCM — Định giá DCF + tiền + dự án</oddHeader>
    <oddFooter>&amp;RTrang &amp;P / &amp;N&amp;LFairline Research — bản 15/10/2026</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pageSetUpPr fitToPage="1"/>
  </sheetPr>
  <dimension ref="A1:F80"/>
  <sheetViews>
    <sheetView showGridLines="0" zoomScale="90" workbookViewId="0">
      <pane xSplit="1" ySplit="3" topLeftCell="B4" activePane="bottomRight" state="frozen"/>
      <selection pane="topRight"/>
      <selection pane="bottomLeft"/>
      <selection pane="bottomRight" activeCell="B52" sqref="B52:B53"/>
    </sheetView>
  </sheetViews>
  <sheetFormatPr defaultRowHeight="14.4" x14ac:dyDescent="0.3"/>
  <cols>
    <col min="1" max="1" width="64" customWidth="1"/>
    <col min="2" max="4" width="13" customWidth="1"/>
    <col min="5" max="5" width="14" customWidth="1"/>
    <col min="6" max="6" width="95" customWidth="1"/>
  </cols>
  <sheetData>
    <row r="1" spans="1:6" ht="18" x14ac:dyDescent="0.3">
      <c r="A1" s="1" t="s">
        <v>890</v>
      </c>
    </row>
    <row r="2" spans="1:6" x14ac:dyDescent="0.3">
      <c r="A2" s="17" t="s">
        <v>293</v>
      </c>
    </row>
    <row r="4" spans="1:6" x14ac:dyDescent="0.3">
      <c r="A4" s="11" t="s">
        <v>914</v>
      </c>
      <c r="B4" s="12"/>
      <c r="C4" s="12"/>
      <c r="D4" s="12"/>
      <c r="E4" s="12"/>
      <c r="F4" s="12"/>
    </row>
    <row r="5" spans="1:6" x14ac:dyDescent="0.3">
      <c r="A5" s="13" t="s">
        <v>294</v>
      </c>
      <c r="B5" s="13" t="s">
        <v>84</v>
      </c>
      <c r="C5" s="13"/>
      <c r="D5" s="13"/>
      <c r="E5" s="13"/>
      <c r="F5" s="13" t="s">
        <v>295</v>
      </c>
    </row>
    <row r="6" spans="1:6" x14ac:dyDescent="0.3">
      <c r="A6" s="9" t="s">
        <v>296</v>
      </c>
      <c r="B6" s="45">
        <v>4.5999999999999999E-2</v>
      </c>
      <c r="F6" s="38" t="s">
        <v>915</v>
      </c>
    </row>
    <row r="7" spans="1:6" ht="36" x14ac:dyDescent="0.3">
      <c r="A7" s="9" t="s">
        <v>297</v>
      </c>
      <c r="B7" s="45">
        <v>9.1999999999999998E-2</v>
      </c>
      <c r="F7" s="38" t="s">
        <v>916</v>
      </c>
    </row>
    <row r="8" spans="1:6" ht="36" x14ac:dyDescent="0.3">
      <c r="A8" s="9" t="s">
        <v>298</v>
      </c>
      <c r="B8" s="47">
        <v>0.72</v>
      </c>
      <c r="F8" s="38" t="s">
        <v>917</v>
      </c>
    </row>
    <row r="9" spans="1:6" ht="24" x14ac:dyDescent="0.3">
      <c r="A9" s="9" t="s">
        <v>299</v>
      </c>
      <c r="B9" s="47">
        <v>0.85</v>
      </c>
      <c r="F9" s="38" t="s">
        <v>300</v>
      </c>
    </row>
    <row r="10" spans="1:6" x14ac:dyDescent="0.3">
      <c r="A10" s="9" t="s">
        <v>301</v>
      </c>
      <c r="B10" s="44">
        <f>B6+B8*B7</f>
        <v>0.11223999999999999</v>
      </c>
      <c r="F10" s="38" t="s">
        <v>918</v>
      </c>
    </row>
    <row r="11" spans="1:6" x14ac:dyDescent="0.3">
      <c r="A11" s="9" t="s">
        <v>302</v>
      </c>
      <c r="B11" s="44">
        <f>B6+B9*B7</f>
        <v>0.12419999999999999</v>
      </c>
      <c r="F11" s="38" t="s">
        <v>303</v>
      </c>
    </row>
    <row r="12" spans="1:6" x14ac:dyDescent="0.3">
      <c r="A12" s="9" t="s">
        <v>304</v>
      </c>
      <c r="B12" s="45">
        <v>0.03</v>
      </c>
      <c r="F12" s="38" t="s">
        <v>305</v>
      </c>
    </row>
    <row r="13" spans="1:6" x14ac:dyDescent="0.3">
      <c r="A13" s="9" t="s">
        <v>306</v>
      </c>
      <c r="B13" s="48">
        <v>0.1</v>
      </c>
      <c r="F13" s="38" t="s">
        <v>307</v>
      </c>
    </row>
    <row r="14" spans="1:6" x14ac:dyDescent="0.3">
      <c r="A14" s="9" t="s">
        <v>308</v>
      </c>
      <c r="B14" s="48">
        <v>0.2</v>
      </c>
      <c r="F14" s="38" t="s">
        <v>309</v>
      </c>
    </row>
    <row r="15" spans="1:6" x14ac:dyDescent="0.3">
      <c r="A15" s="9" t="s">
        <v>310</v>
      </c>
      <c r="B15" s="45">
        <v>7.4999999999999997E-2</v>
      </c>
      <c r="F15" s="38" t="s">
        <v>919</v>
      </c>
    </row>
    <row r="16" spans="1:6" x14ac:dyDescent="0.3">
      <c r="A16" s="9" t="s">
        <v>311</v>
      </c>
      <c r="B16" s="34">
        <v>1000</v>
      </c>
      <c r="F16" s="38" t="s">
        <v>920</v>
      </c>
    </row>
    <row r="17" spans="1:6" ht="24" x14ac:dyDescent="0.3">
      <c r="A17" s="9" t="s">
        <v>312</v>
      </c>
      <c r="B17" s="45">
        <v>0.09</v>
      </c>
      <c r="F17" s="38" t="s">
        <v>921</v>
      </c>
    </row>
    <row r="18" spans="1:6" x14ac:dyDescent="0.3">
      <c r="A18" s="9" t="s">
        <v>922</v>
      </c>
    </row>
    <row r="19" spans="1:6" x14ac:dyDescent="0.3">
      <c r="A19" s="14" t="s">
        <v>313</v>
      </c>
      <c r="B19" s="48">
        <v>0</v>
      </c>
      <c r="F19" s="38" t="s">
        <v>757</v>
      </c>
    </row>
    <row r="20" spans="1:6" x14ac:dyDescent="0.3">
      <c r="A20" s="14" t="s">
        <v>314</v>
      </c>
      <c r="B20" s="48">
        <v>1</v>
      </c>
      <c r="F20" s="38" t="s">
        <v>758</v>
      </c>
    </row>
    <row r="21" spans="1:6" ht="24" x14ac:dyDescent="0.3">
      <c r="A21" s="14" t="s">
        <v>315</v>
      </c>
      <c r="B21" s="48">
        <v>0</v>
      </c>
      <c r="F21" s="38" t="s">
        <v>759</v>
      </c>
    </row>
    <row r="22" spans="1:6" ht="24" x14ac:dyDescent="0.3">
      <c r="A22" s="14" t="s">
        <v>316</v>
      </c>
      <c r="B22" s="48">
        <v>0</v>
      </c>
      <c r="F22" s="38" t="s">
        <v>760</v>
      </c>
    </row>
    <row r="23" spans="1:6" x14ac:dyDescent="0.3">
      <c r="A23" s="14" t="s">
        <v>317</v>
      </c>
      <c r="B23" s="48">
        <v>0</v>
      </c>
      <c r="F23" s="38" t="s">
        <v>761</v>
      </c>
    </row>
    <row r="24" spans="1:6" x14ac:dyDescent="0.3">
      <c r="A24" s="14" t="s">
        <v>318</v>
      </c>
      <c r="B24" s="41">
        <f>SUM(B19:B23)</f>
        <v>1</v>
      </c>
      <c r="C24" s="9" t="str">
        <f>IF(ABS(B24-1)&lt;0.000001,"ĐẠT","SAI — tổng khác 100%")</f>
        <v>ĐẠT</v>
      </c>
    </row>
    <row r="26" spans="1:6" ht="48" x14ac:dyDescent="0.3">
      <c r="A26" s="14" t="s">
        <v>756</v>
      </c>
      <c r="B26" s="48">
        <v>0.1</v>
      </c>
      <c r="F26" s="38" t="s">
        <v>923</v>
      </c>
    </row>
    <row r="27" spans="1:6" x14ac:dyDescent="0.3">
      <c r="A27" s="11" t="s">
        <v>319</v>
      </c>
      <c r="B27" s="12"/>
      <c r="C27" s="12"/>
      <c r="D27" s="12"/>
      <c r="E27" s="12"/>
      <c r="F27" s="12"/>
    </row>
    <row r="28" spans="1:6" x14ac:dyDescent="0.3">
      <c r="A28" s="13" t="s">
        <v>294</v>
      </c>
      <c r="B28" s="13" t="s">
        <v>84</v>
      </c>
      <c r="C28" s="13"/>
      <c r="D28" s="13"/>
      <c r="E28" s="13"/>
      <c r="F28" s="13" t="s">
        <v>320</v>
      </c>
    </row>
    <row r="29" spans="1:6" x14ac:dyDescent="0.3">
      <c r="A29" s="14" t="s">
        <v>321</v>
      </c>
      <c r="B29" s="49">
        <f>'01_Số liệu gốc'!$D$85-'01_Số liệu gốc'!$E$85+'01_Số liệu gốc'!$F$85</f>
        <v>637.20499999999993</v>
      </c>
      <c r="F29" s="38" t="s">
        <v>322</v>
      </c>
    </row>
    <row r="30" spans="1:6" x14ac:dyDescent="0.3">
      <c r="A30" s="14" t="s">
        <v>323</v>
      </c>
      <c r="B30" s="49">
        <f>'01_Số liệu gốc'!$H$42</f>
        <v>2937.018</v>
      </c>
      <c r="F30" s="38"/>
    </row>
    <row r="31" spans="1:6" x14ac:dyDescent="0.3">
      <c r="A31" s="14" t="s">
        <v>324</v>
      </c>
      <c r="B31" s="36">
        <f>B30-B29</f>
        <v>2299.8130000000001</v>
      </c>
      <c r="F31" s="38" t="s">
        <v>325</v>
      </c>
    </row>
    <row r="32" spans="1:6" x14ac:dyDescent="0.3">
      <c r="A32" s="14" t="s">
        <v>326</v>
      </c>
      <c r="B32" s="49">
        <f>'01_Số liệu gốc'!$H$43</f>
        <v>862.82100000000003</v>
      </c>
      <c r="F32" s="38"/>
    </row>
    <row r="33" spans="1:6" x14ac:dyDescent="0.3">
      <c r="A33" s="14" t="s">
        <v>327</v>
      </c>
      <c r="B33" s="49">
        <f>'01_Số liệu gốc'!$H$44</f>
        <v>629.37800000000016</v>
      </c>
      <c r="F33" s="38"/>
    </row>
    <row r="34" spans="1:6" x14ac:dyDescent="0.3">
      <c r="A34" s="14" t="s">
        <v>328</v>
      </c>
      <c r="B34" s="49">
        <f>'01_Số liệu gốc'!$H$45</f>
        <v>37.732999999999997</v>
      </c>
      <c r="F34" s="38"/>
    </row>
    <row r="35" spans="1:6" x14ac:dyDescent="0.3">
      <c r="A35" s="14" t="s">
        <v>329</v>
      </c>
      <c r="B35" s="49">
        <f>'01_Số liệu gốc'!$H$46</f>
        <v>195.70999999999987</v>
      </c>
      <c r="F35" s="38"/>
    </row>
    <row r="36" spans="1:6" ht="24" x14ac:dyDescent="0.3">
      <c r="A36" s="14" t="s">
        <v>330</v>
      </c>
      <c r="B36" s="50">
        <f>INDEX(LINEST('01_Số liệu gốc'!$B$87:$D$87,'01_Số liệu gốc'!$B$85:$D$86,FALSE,FALSE),1,2)</f>
        <v>-4.0691356920098933E-2</v>
      </c>
      <c r="F36" s="38" t="s">
        <v>331</v>
      </c>
    </row>
    <row r="37" spans="1:6" x14ac:dyDescent="0.3">
      <c r="A37" s="14" t="s">
        <v>332</v>
      </c>
      <c r="B37" s="50">
        <f>INDEX(LINEST('01_Số liệu gốc'!$B$87:$D$87,'01_Số liệu gốc'!$B$85:$D$86,FALSE,FALSE),1,1)</f>
        <v>0.37696235165941744</v>
      </c>
    </row>
    <row r="38" spans="1:6" ht="36" x14ac:dyDescent="0.3">
      <c r="A38" s="9" t="s">
        <v>333</v>
      </c>
      <c r="B38" s="45">
        <v>0.1</v>
      </c>
      <c r="F38" s="38" t="s">
        <v>924</v>
      </c>
    </row>
    <row r="39" spans="1:6" x14ac:dyDescent="0.3">
      <c r="A39" s="9" t="s">
        <v>334</v>
      </c>
      <c r="B39" s="44">
        <f>(B32-B38*B29)/B31</f>
        <v>0.34746325027295699</v>
      </c>
    </row>
    <row r="40" spans="1:6" x14ac:dyDescent="0.3">
      <c r="A40" s="9" t="s">
        <v>335</v>
      </c>
      <c r="B40" s="44">
        <f>B33/B31</f>
        <v>0.27366485883852304</v>
      </c>
    </row>
    <row r="41" spans="1:6" x14ac:dyDescent="0.3">
      <c r="A41" s="17" t="s">
        <v>336</v>
      </c>
      <c r="B41" s="51" t="s">
        <v>113</v>
      </c>
      <c r="C41" s="51" t="s">
        <v>115</v>
      </c>
      <c r="D41" s="51" t="s">
        <v>197</v>
      </c>
      <c r="E41" s="51" t="s">
        <v>198</v>
      </c>
    </row>
    <row r="42" spans="1:6" x14ac:dyDescent="0.3">
      <c r="A42" s="14" t="s">
        <v>337</v>
      </c>
      <c r="B42" s="50">
        <f>('01_Số liệu gốc'!B87-$B$38*'01_Số liệu gốc'!B85)/'01_Số liệu gốc'!B86</f>
        <v>0.35647385745960614</v>
      </c>
      <c r="C42" s="50">
        <f>('01_Số liệu gốc'!D87-$B$38*'01_Số liệu gốc'!D85)/'01_Số liệu gốc'!D86</f>
        <v>0.3369835322916061</v>
      </c>
      <c r="D42" s="50">
        <f>('01_Số liệu gốc'!E87-$B$38*'01_Số liệu gốc'!E85)/'01_Số liệu gốc'!E86</f>
        <v>0.33281576440948757</v>
      </c>
      <c r="E42" s="50">
        <f>('01_Số liệu gốc'!F87-$B$38*'01_Số liệu gốc'!F85)/'01_Số liệu gốc'!F86</f>
        <v>0.35380724575863537</v>
      </c>
    </row>
    <row r="43" spans="1:6" x14ac:dyDescent="0.3">
      <c r="A43" s="14" t="s">
        <v>338</v>
      </c>
      <c r="B43" s="50">
        <f>'01_Số liệu gốc'!B88/'01_Số liệu gốc'!B86</f>
        <v>0.26156709492521191</v>
      </c>
      <c r="C43" s="50">
        <f>'01_Số liệu gốc'!D88/'01_Số liệu gốc'!D86</f>
        <v>0.27996027295727405</v>
      </c>
      <c r="D43" s="50">
        <f>'01_Số liệu gốc'!E88/'01_Số liệu gốc'!E86</f>
        <v>0.26050851818852161</v>
      </c>
      <c r="E43" s="50">
        <f>'01_Số liệu gốc'!F88/'01_Số liệu gốc'!F86</f>
        <v>0.25038503681794849</v>
      </c>
      <c r="F43" s="38" t="s">
        <v>339</v>
      </c>
    </row>
    <row r="44" spans="1:6" ht="36" x14ac:dyDescent="0.3">
      <c r="A44" s="14" t="s">
        <v>340</v>
      </c>
      <c r="B44" s="40">
        <f>B39-B40</f>
        <v>7.3798391434433952E-2</v>
      </c>
      <c r="C44" s="40">
        <f>B38</f>
        <v>0.1</v>
      </c>
      <c r="F44" s="38" t="s">
        <v>751</v>
      </c>
    </row>
    <row r="45" spans="1:6" x14ac:dyDescent="0.3">
      <c r="A45" s="14" t="s">
        <v>341</v>
      </c>
      <c r="B45" s="36">
        <f>B38*B29+(B39-B40)*B31-B34</f>
        <v>195.70999999999984</v>
      </c>
      <c r="C45" s="9" t="str">
        <f>IF(ABS(B45-B35)&lt;0.001,"KHỚP","LỆCH")</f>
        <v>KHỚP</v>
      </c>
    </row>
    <row r="46" spans="1:6" x14ac:dyDescent="0.3">
      <c r="A46" s="14" t="s">
        <v>342</v>
      </c>
      <c r="B46" s="32">
        <v>39</v>
      </c>
      <c r="F46" s="38" t="s">
        <v>343</v>
      </c>
    </row>
    <row r="47" spans="1:6" x14ac:dyDescent="0.3">
      <c r="A47" s="14" t="s">
        <v>344</v>
      </c>
      <c r="B47" s="49">
        <f>('01_Số liệu gốc'!$F$52+'01_Số liệu gốc'!$G$52)*2</f>
        <v>70.908000000000001</v>
      </c>
    </row>
    <row r="48" spans="1:6" x14ac:dyDescent="0.3">
      <c r="A48" s="14" t="s">
        <v>345</v>
      </c>
      <c r="B48" s="50">
        <f>('01_Số liệu gốc'!$H$50-B14*('01_Số liệu gốc'!$H$47-'01_Số liệu gốc'!$H$48))/('01_Số liệu gốc'!$H$49-('01_Số liệu gốc'!$H$47-'01_Số liệu gốc'!$H$48))</f>
        <v>7.4019574894912898E-2</v>
      </c>
    </row>
    <row r="49" spans="1:6" x14ac:dyDescent="0.3">
      <c r="A49" s="14" t="s">
        <v>346</v>
      </c>
      <c r="B49" s="50">
        <f>('01_Số liệu gốc'!$F$30-B14*('01_Số liệu gốc'!$F$25-'01_Số liệu gốc'!$F$26))/('01_Số liệu gốc'!$F$29-('01_Số liệu gốc'!$F$25-'01_Số liệu gốc'!$F$26))</f>
        <v>8.7886231758972783E-2</v>
      </c>
      <c r="F49" s="38" t="s">
        <v>347</v>
      </c>
    </row>
    <row r="50" spans="1:6" x14ac:dyDescent="0.3">
      <c r="A50" s="14" t="s">
        <v>348</v>
      </c>
      <c r="B50" s="49">
        <f>'01_Số liệu gốc'!$C$73</f>
        <v>463.2349999999999</v>
      </c>
    </row>
    <row r="51" spans="1:6" x14ac:dyDescent="0.3">
      <c r="A51" s="9" t="s">
        <v>349</v>
      </c>
      <c r="B51" s="44">
        <f>B35*(1-B48)/B50</f>
        <v>0.3912131617803416</v>
      </c>
      <c r="F51" s="38" t="s">
        <v>350</v>
      </c>
    </row>
    <row r="52" spans="1:6" ht="24" x14ac:dyDescent="0.3">
      <c r="A52" s="9" t="s">
        <v>788</v>
      </c>
      <c r="B52" s="90">
        <v>0.307</v>
      </c>
      <c r="F52" s="38" t="s">
        <v>789</v>
      </c>
    </row>
    <row r="53" spans="1:6" ht="24" x14ac:dyDescent="0.3">
      <c r="A53" s="9" t="s">
        <v>790</v>
      </c>
      <c r="B53" s="47">
        <v>0.3</v>
      </c>
      <c r="F53" s="38" t="s">
        <v>791</v>
      </c>
    </row>
    <row r="54" spans="1:6" ht="24" x14ac:dyDescent="0.3">
      <c r="A54" s="9" t="s">
        <v>792</v>
      </c>
      <c r="B54" s="93">
        <f>ROUND(B10+B53*(B52-B10),3)</f>
        <v>0.17100000000000001</v>
      </c>
      <c r="F54" s="38" t="s">
        <v>793</v>
      </c>
    </row>
    <row r="55" spans="1:6" x14ac:dyDescent="0.3">
      <c r="A55" s="14" t="s">
        <v>351</v>
      </c>
      <c r="B55" s="49">
        <f>(('01_Số liệu gốc'!$F$46+'01_Số liệu gốc'!$G$46)-('01_Số liệu gốc'!$B$46+'01_Số liệu gốc'!$C$46))/2</f>
        <v>21.707499999999982</v>
      </c>
    </row>
    <row r="56" spans="1:6" ht="24" x14ac:dyDescent="0.3">
      <c r="A56" s="9" t="s">
        <v>352</v>
      </c>
      <c r="B56" s="24">
        <f>'01_Số liệu gốc'!$D$51+1*B55*(1-B48)</f>
        <v>48.164720077968667</v>
      </c>
      <c r="C56" s="49">
        <f>'01_Số liệu gốc'!$D$51+0.5*B55*(1-B48)</f>
        <v>38.11436003898433</v>
      </c>
      <c r="D56" s="49">
        <f>'01_Số liệu gốc'!$D$51+1.5*B55*(1-B48)</f>
        <v>58.21508011695299</v>
      </c>
      <c r="F56" s="38" t="s">
        <v>353</v>
      </c>
    </row>
    <row r="58" spans="1:6" x14ac:dyDescent="0.3">
      <c r="A58" s="11" t="s">
        <v>354</v>
      </c>
      <c r="B58" s="12"/>
      <c r="C58" s="12"/>
      <c r="D58" s="12"/>
      <c r="E58" s="12"/>
      <c r="F58" s="12"/>
    </row>
    <row r="59" spans="1:6" x14ac:dyDescent="0.3">
      <c r="A59" s="13" t="s">
        <v>294</v>
      </c>
      <c r="B59" s="13" t="s">
        <v>7</v>
      </c>
      <c r="C59" s="13" t="s">
        <v>8</v>
      </c>
      <c r="D59" s="13" t="s">
        <v>9</v>
      </c>
      <c r="E59" s="13" t="s">
        <v>355</v>
      </c>
      <c r="F59" s="13" t="s">
        <v>295</v>
      </c>
    </row>
    <row r="60" spans="1:6" x14ac:dyDescent="0.3">
      <c r="A60" s="51" t="s">
        <v>356</v>
      </c>
      <c r="B60" s="52"/>
      <c r="C60" s="52"/>
      <c r="D60" s="52"/>
      <c r="E60" s="52"/>
      <c r="F60" s="52"/>
    </row>
    <row r="61" spans="1:6" ht="24" x14ac:dyDescent="0.3">
      <c r="A61" s="14" t="s">
        <v>357</v>
      </c>
      <c r="B61" s="32">
        <v>2200</v>
      </c>
      <c r="C61" s="32">
        <v>2450</v>
      </c>
      <c r="D61" s="32">
        <v>2700</v>
      </c>
      <c r="E61" s="36">
        <f>B31</f>
        <v>2299.8130000000001</v>
      </c>
      <c r="F61" s="38" t="s">
        <v>358</v>
      </c>
    </row>
    <row r="62" spans="1:6" x14ac:dyDescent="0.3">
      <c r="A62" s="14" t="s">
        <v>359</v>
      </c>
      <c r="B62" s="32">
        <v>700</v>
      </c>
      <c r="C62" s="32">
        <v>640</v>
      </c>
      <c r="D62" s="32">
        <v>600</v>
      </c>
      <c r="E62" s="36">
        <f>B29</f>
        <v>637.20499999999993</v>
      </c>
      <c r="F62" s="38" t="s">
        <v>360</v>
      </c>
    </row>
    <row r="63" spans="1:6" x14ac:dyDescent="0.3">
      <c r="A63" s="14" t="s">
        <v>361</v>
      </c>
      <c r="B63" s="45">
        <v>-1.4999999999999999E-2</v>
      </c>
      <c r="C63" s="45">
        <v>0</v>
      </c>
      <c r="D63" s="45">
        <v>0.01</v>
      </c>
      <c r="E63" s="40">
        <f>E42-B39</f>
        <v>6.3439954856783776E-3</v>
      </c>
      <c r="F63" s="38" t="s">
        <v>362</v>
      </c>
    </row>
    <row r="64" spans="1:6" x14ac:dyDescent="0.3">
      <c r="A64" s="14" t="s">
        <v>363</v>
      </c>
      <c r="B64" s="45">
        <v>0.28000000000000003</v>
      </c>
      <c r="C64" s="45">
        <v>0.27</v>
      </c>
      <c r="D64" s="45">
        <v>0.26</v>
      </c>
      <c r="E64" s="40">
        <f>B40</f>
        <v>0.27366485883852304</v>
      </c>
      <c r="F64" s="38" t="s">
        <v>364</v>
      </c>
    </row>
    <row r="65" spans="1:6" ht="36" x14ac:dyDescent="0.3">
      <c r="A65" s="14" t="s">
        <v>365</v>
      </c>
      <c r="B65" s="45">
        <v>0.09</v>
      </c>
      <c r="C65" s="45">
        <v>0.09</v>
      </c>
      <c r="D65" s="45">
        <v>0.09</v>
      </c>
      <c r="E65" s="40">
        <f>B48</f>
        <v>7.4019574894912898E-2</v>
      </c>
      <c r="F65" s="38" t="s">
        <v>794</v>
      </c>
    </row>
    <row r="66" spans="1:6" x14ac:dyDescent="0.3">
      <c r="A66" s="14" t="s">
        <v>366</v>
      </c>
      <c r="B66" s="45">
        <v>0</v>
      </c>
      <c r="C66" s="45">
        <v>0.03</v>
      </c>
      <c r="D66" s="45">
        <v>0.05</v>
      </c>
      <c r="F66" s="38" t="s">
        <v>367</v>
      </c>
    </row>
    <row r="67" spans="1:6" ht="24" x14ac:dyDescent="0.3">
      <c r="A67" s="14" t="s">
        <v>780</v>
      </c>
      <c r="B67" s="90">
        <v>2.3E-2</v>
      </c>
      <c r="C67" s="90">
        <v>2.5999999999999999E-2</v>
      </c>
      <c r="D67" s="90">
        <v>2.8000000000000001E-2</v>
      </c>
      <c r="F67" s="38" t="s">
        <v>781</v>
      </c>
    </row>
    <row r="68" spans="1:6" x14ac:dyDescent="0.3">
      <c r="A68" s="14" t="s">
        <v>782</v>
      </c>
      <c r="B68" s="90">
        <v>2.3E-2</v>
      </c>
      <c r="C68" s="90">
        <v>2.3E-2</v>
      </c>
      <c r="D68" s="90">
        <v>2.3E-2</v>
      </c>
      <c r="E68" s="91">
        <f>$B$47/$B$30</f>
        <v>2.4142855099968743E-2</v>
      </c>
      <c r="F68" s="38" t="s">
        <v>783</v>
      </c>
    </row>
    <row r="69" spans="1:6" ht="24" x14ac:dyDescent="0.3">
      <c r="A69" s="14" t="s">
        <v>784</v>
      </c>
      <c r="B69" s="90">
        <v>0.04</v>
      </c>
      <c r="C69" s="90">
        <v>0.04</v>
      </c>
      <c r="D69" s="90">
        <v>0.04</v>
      </c>
      <c r="F69" s="38" t="s">
        <v>785</v>
      </c>
    </row>
    <row r="70" spans="1:6" ht="24" x14ac:dyDescent="0.3">
      <c r="A70" s="14" t="s">
        <v>786</v>
      </c>
      <c r="B70" s="92">
        <v>0</v>
      </c>
      <c r="C70" s="92">
        <v>1</v>
      </c>
      <c r="D70" s="92">
        <v>1</v>
      </c>
      <c r="F70" s="38" t="s">
        <v>787</v>
      </c>
    </row>
    <row r="71" spans="1:6" x14ac:dyDescent="0.3">
      <c r="A71" s="51" t="s">
        <v>368</v>
      </c>
      <c r="B71" s="52"/>
      <c r="C71" s="52"/>
      <c r="D71" s="52"/>
      <c r="E71" s="52"/>
      <c r="F71" s="52"/>
    </row>
    <row r="72" spans="1:6" ht="24" x14ac:dyDescent="0.3">
      <c r="A72" s="14" t="s">
        <v>369</v>
      </c>
      <c r="B72" s="53">
        <v>10.8</v>
      </c>
      <c r="C72" s="53">
        <v>10.8</v>
      </c>
      <c r="D72" s="53">
        <v>10.8</v>
      </c>
      <c r="E72" s="54">
        <f>'01_Số liệu gốc'!$B$144</f>
        <v>13.89</v>
      </c>
      <c r="F72" s="38" t="s">
        <v>925</v>
      </c>
    </row>
    <row r="73" spans="1:6" ht="24" x14ac:dyDescent="0.3">
      <c r="A73" s="14" t="s">
        <v>370</v>
      </c>
      <c r="B73" s="53">
        <v>6.6</v>
      </c>
      <c r="C73" s="53">
        <v>6.6</v>
      </c>
      <c r="D73" s="53">
        <v>6.6</v>
      </c>
      <c r="F73" s="38" t="s">
        <v>371</v>
      </c>
    </row>
    <row r="74" spans="1:6" x14ac:dyDescent="0.3">
      <c r="A74" s="51" t="s">
        <v>372</v>
      </c>
      <c r="B74" s="52"/>
      <c r="C74" s="52"/>
      <c r="D74" s="52"/>
      <c r="E74" s="52"/>
      <c r="F74" s="52"/>
    </row>
    <row r="75" spans="1:6" ht="24" x14ac:dyDescent="0.3">
      <c r="A75" s="14" t="s">
        <v>373</v>
      </c>
      <c r="B75" s="45">
        <v>9.5000000000000001E-2</v>
      </c>
      <c r="C75" s="45">
        <v>0.115</v>
      </c>
      <c r="D75" s="45">
        <v>0.14000000000000001</v>
      </c>
      <c r="E75" s="50">
        <f>'01_Số liệu gốc'!$E$104</f>
        <v>0.12804854510182886</v>
      </c>
      <c r="F75" s="38" t="s">
        <v>374</v>
      </c>
    </row>
    <row r="76" spans="1:6" x14ac:dyDescent="0.3">
      <c r="A76" s="51" t="s">
        <v>375</v>
      </c>
      <c r="B76" s="52"/>
      <c r="C76" s="52"/>
      <c r="D76" s="52"/>
      <c r="E76" s="52"/>
      <c r="F76" s="52"/>
    </row>
    <row r="77" spans="1:6" ht="24" x14ac:dyDescent="0.3">
      <c r="A77" s="14" t="s">
        <v>376</v>
      </c>
      <c r="B77" s="34">
        <v>1000</v>
      </c>
      <c r="C77" s="34">
        <v>1500</v>
      </c>
      <c r="D77" s="34">
        <v>2000</v>
      </c>
      <c r="E77" s="55">
        <f>'01_Số liệu gốc'!$B$135</f>
        <v>2000</v>
      </c>
      <c r="F77" s="38" t="s">
        <v>377</v>
      </c>
    </row>
    <row r="78" spans="1:6" x14ac:dyDescent="0.3">
      <c r="A78" s="14" t="s">
        <v>378</v>
      </c>
      <c r="B78" s="45">
        <v>6.5000000000000002E-2</v>
      </c>
      <c r="C78" s="45">
        <v>7.0000000000000007E-2</v>
      </c>
      <c r="D78" s="45">
        <v>7.4999999999999997E-2</v>
      </c>
      <c r="E78" s="50">
        <f>'01_Số liệu gốc'!$B$143</f>
        <v>6.3826954628651442E-2</v>
      </c>
      <c r="F78" s="38" t="s">
        <v>926</v>
      </c>
    </row>
    <row r="79" spans="1:6" x14ac:dyDescent="0.3">
      <c r="A79" s="51" t="s">
        <v>927</v>
      </c>
      <c r="B79" s="52"/>
      <c r="C79" s="52"/>
      <c r="D79" s="52"/>
      <c r="E79" s="52"/>
      <c r="F79" s="52"/>
    </row>
    <row r="80" spans="1:6" x14ac:dyDescent="0.3">
      <c r="A80" s="9" t="s">
        <v>795</v>
      </c>
    </row>
  </sheetData>
  <pageMargins left="0.4" right="0.4" top="0.7" bottom="0.6" header="0.5" footer="0.5"/>
  <pageSetup paperSize="9" scale="65" fitToHeight="0" orientation="landscape" r:id="rId1"/>
  <headerFooter>
    <oddHeader>&amp;R&amp;A&amp;LMCM — Định giá DCF + tiền + dự án</oddHeader>
    <oddFooter>&amp;RTrang &amp;P / &amp;N&amp;LFairline Research — bản 15/10/2026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W347"/>
  <sheetViews>
    <sheetView showGridLines="0" zoomScale="90" workbookViewId="0">
      <pane xSplit="1" ySplit="4" topLeftCell="B338" activePane="bottomRight" state="frozen"/>
      <selection pane="topRight"/>
      <selection pane="bottomLeft"/>
      <selection pane="bottomRight" activeCell="B345" sqref="A345:XFD345"/>
    </sheetView>
  </sheetViews>
  <sheetFormatPr defaultRowHeight="14.4" outlineLevelRow="1" x14ac:dyDescent="0.3"/>
  <cols>
    <col min="1" max="1" width="62" customWidth="1"/>
    <col min="2" max="4" width="13" customWidth="1"/>
    <col min="5" max="5" width="9" customWidth="1"/>
    <col min="6" max="6" width="58" customWidth="1"/>
    <col min="7" max="7" width="2" customWidth="1"/>
    <col min="8" max="23" width="12" customWidth="1"/>
  </cols>
  <sheetData>
    <row r="1" spans="1:23" ht="18" x14ac:dyDescent="0.3">
      <c r="A1" s="1" t="s">
        <v>891</v>
      </c>
    </row>
    <row r="2" spans="1:23" x14ac:dyDescent="0.3">
      <c r="A2" s="17" t="s">
        <v>753</v>
      </c>
    </row>
    <row r="3" spans="1:23" ht="63.9" customHeight="1" x14ac:dyDescent="0.3">
      <c r="H3" s="56" t="s">
        <v>379</v>
      </c>
      <c r="I3" s="56" t="s">
        <v>380</v>
      </c>
      <c r="J3" s="56" t="s">
        <v>381</v>
      </c>
      <c r="K3" s="56" t="s">
        <v>382</v>
      </c>
      <c r="L3" s="56" t="s">
        <v>383</v>
      </c>
      <c r="M3" s="56" t="s">
        <v>384</v>
      </c>
      <c r="N3" s="56" t="s">
        <v>385</v>
      </c>
      <c r="O3" s="56" t="s">
        <v>386</v>
      </c>
      <c r="P3" s="56" t="s">
        <v>387</v>
      </c>
      <c r="Q3" s="56" t="s">
        <v>388</v>
      </c>
      <c r="R3" s="56" t="s">
        <v>389</v>
      </c>
      <c r="S3" s="56" t="s">
        <v>390</v>
      </c>
      <c r="T3" s="56" t="s">
        <v>391</v>
      </c>
      <c r="U3" s="56" t="s">
        <v>392</v>
      </c>
      <c r="V3" s="56" t="s">
        <v>393</v>
      </c>
      <c r="W3" s="56" t="s">
        <v>928</v>
      </c>
    </row>
    <row r="4" spans="1:23" x14ac:dyDescent="0.3">
      <c r="A4" s="13" t="s">
        <v>394</v>
      </c>
      <c r="B4" s="13" t="s">
        <v>7</v>
      </c>
      <c r="C4" s="13" t="s">
        <v>8</v>
      </c>
      <c r="D4" s="13" t="s">
        <v>9</v>
      </c>
      <c r="E4" s="13" t="s">
        <v>10</v>
      </c>
      <c r="F4" s="13" t="s">
        <v>20</v>
      </c>
      <c r="G4" s="13"/>
      <c r="H4" s="13" t="s">
        <v>395</v>
      </c>
      <c r="I4" s="13" t="s">
        <v>396</v>
      </c>
      <c r="J4" s="13" t="s">
        <v>397</v>
      </c>
      <c r="K4" s="13" t="s">
        <v>398</v>
      </c>
      <c r="L4" s="13" t="s">
        <v>399</v>
      </c>
      <c r="M4" s="13" t="s">
        <v>400</v>
      </c>
      <c r="N4" s="13" t="s">
        <v>401</v>
      </c>
      <c r="O4" s="13" t="s">
        <v>402</v>
      </c>
      <c r="P4" s="13" t="s">
        <v>403</v>
      </c>
      <c r="Q4" s="13" t="s">
        <v>404</v>
      </c>
      <c r="R4" s="13" t="s">
        <v>405</v>
      </c>
      <c r="S4" s="13" t="s">
        <v>406</v>
      </c>
      <c r="T4" s="13" t="s">
        <v>407</v>
      </c>
      <c r="U4" s="13" t="s">
        <v>408</v>
      </c>
      <c r="V4" s="13" t="s">
        <v>409</v>
      </c>
      <c r="W4" s="13" t="s">
        <v>752</v>
      </c>
    </row>
    <row r="5" spans="1:23" x14ac:dyDescent="0.3">
      <c r="A5" s="51" t="s">
        <v>410</v>
      </c>
      <c r="B5" s="52"/>
      <c r="C5" s="52"/>
      <c r="D5" s="52"/>
      <c r="E5" s="52"/>
      <c r="F5" s="52"/>
      <c r="G5" s="52"/>
      <c r="H5" s="52"/>
      <c r="I5" s="52"/>
      <c r="J5" s="52"/>
      <c r="K5" s="52"/>
      <c r="L5" s="52"/>
      <c r="M5" s="52"/>
      <c r="N5" s="52"/>
      <c r="O5" s="52"/>
      <c r="P5" s="52"/>
      <c r="Q5" s="52"/>
      <c r="R5" s="52"/>
      <c r="S5" s="52"/>
      <c r="T5" s="52"/>
      <c r="U5" s="52"/>
      <c r="V5" s="52"/>
      <c r="W5" s="52"/>
    </row>
    <row r="6" spans="1:23" x14ac:dyDescent="0.3">
      <c r="A6" s="14" t="s">
        <v>411</v>
      </c>
      <c r="B6" s="27">
        <f>'02_Giả định'!B61</f>
        <v>2200</v>
      </c>
      <c r="C6" s="27">
        <f>'02_Giả định'!C61</f>
        <v>2450</v>
      </c>
      <c r="D6" s="27">
        <f>'02_Giả định'!D61</f>
        <v>2700</v>
      </c>
      <c r="H6" s="43">
        <f t="shared" ref="H6:O14" si="0">$C6</f>
        <v>2450</v>
      </c>
      <c r="I6" s="43">
        <f t="shared" si="0"/>
        <v>2450</v>
      </c>
      <c r="J6" s="43">
        <f t="shared" si="0"/>
        <v>2450</v>
      </c>
      <c r="K6" s="43">
        <f t="shared" si="0"/>
        <v>2450</v>
      </c>
      <c r="L6" s="43">
        <f t="shared" si="0"/>
        <v>2450</v>
      </c>
      <c r="M6" s="43">
        <f t="shared" si="0"/>
        <v>2450</v>
      </c>
      <c r="N6" s="43">
        <f t="shared" si="0"/>
        <v>2450</v>
      </c>
      <c r="O6" s="43">
        <f t="shared" si="0"/>
        <v>2450</v>
      </c>
      <c r="P6" s="32">
        <f>'01_Số liệu gốc'!$D$86</f>
        <v>2166.7860000000001</v>
      </c>
      <c r="Q6" s="32">
        <f>'01_Số liệu gốc'!$B$86</f>
        <v>2710.1229999999996</v>
      </c>
      <c r="R6" s="43">
        <f t="shared" ref="R6:W7" si="1">$C6</f>
        <v>2450</v>
      </c>
      <c r="S6" s="43">
        <f t="shared" si="1"/>
        <v>2450</v>
      </c>
      <c r="T6" s="43">
        <f t="shared" si="1"/>
        <v>2450</v>
      </c>
      <c r="U6" s="43">
        <f t="shared" si="1"/>
        <v>2450</v>
      </c>
      <c r="V6" s="43">
        <f t="shared" si="1"/>
        <v>2450</v>
      </c>
      <c r="W6" s="43">
        <f t="shared" si="1"/>
        <v>2450</v>
      </c>
    </row>
    <row r="7" spans="1:23" x14ac:dyDescent="0.3">
      <c r="A7" s="14" t="s">
        <v>412</v>
      </c>
      <c r="B7" s="27">
        <f>'02_Giả định'!B62</f>
        <v>700</v>
      </c>
      <c r="C7" s="27">
        <f>'02_Giả định'!C62</f>
        <v>640</v>
      </c>
      <c r="D7" s="27">
        <f>'02_Giả định'!D62</f>
        <v>600</v>
      </c>
      <c r="H7" s="43">
        <f t="shared" si="0"/>
        <v>640</v>
      </c>
      <c r="I7" s="43">
        <f t="shared" si="0"/>
        <v>640</v>
      </c>
      <c r="J7" s="43">
        <f t="shared" si="0"/>
        <v>640</v>
      </c>
      <c r="K7" s="43">
        <f t="shared" si="0"/>
        <v>640</v>
      </c>
      <c r="L7" s="43">
        <f t="shared" si="0"/>
        <v>640</v>
      </c>
      <c r="M7" s="43">
        <f t="shared" si="0"/>
        <v>640</v>
      </c>
      <c r="N7" s="43">
        <f t="shared" si="0"/>
        <v>640</v>
      </c>
      <c r="O7" s="43">
        <f t="shared" si="0"/>
        <v>640</v>
      </c>
      <c r="P7" s="43">
        <f t="shared" ref="P7:Q26" si="2">$C7</f>
        <v>640</v>
      </c>
      <c r="Q7" s="43">
        <f t="shared" si="2"/>
        <v>640</v>
      </c>
      <c r="R7" s="43">
        <f t="shared" si="1"/>
        <v>640</v>
      </c>
      <c r="S7" s="43">
        <f t="shared" si="1"/>
        <v>640</v>
      </c>
      <c r="T7" s="43">
        <f t="shared" si="1"/>
        <v>640</v>
      </c>
      <c r="U7" s="43">
        <f t="shared" si="1"/>
        <v>640</v>
      </c>
      <c r="V7" s="43">
        <f t="shared" si="1"/>
        <v>640</v>
      </c>
      <c r="W7" s="43">
        <f t="shared" si="1"/>
        <v>640</v>
      </c>
    </row>
    <row r="8" spans="1:23" x14ac:dyDescent="0.3">
      <c r="A8" s="14" t="s">
        <v>413</v>
      </c>
      <c r="B8" s="19">
        <f>'02_Giả định'!B63</f>
        <v>-1.4999999999999999E-2</v>
      </c>
      <c r="C8" s="19">
        <f>'02_Giả định'!C63</f>
        <v>0</v>
      </c>
      <c r="D8" s="19">
        <f>'02_Giả định'!D63</f>
        <v>0.01</v>
      </c>
      <c r="H8" s="57">
        <f t="shared" si="0"/>
        <v>0</v>
      </c>
      <c r="I8" s="57">
        <f t="shared" si="0"/>
        <v>0</v>
      </c>
      <c r="J8" s="57">
        <f t="shared" si="0"/>
        <v>0</v>
      </c>
      <c r="K8" s="57">
        <f t="shared" si="0"/>
        <v>0</v>
      </c>
      <c r="L8" s="57">
        <f t="shared" si="0"/>
        <v>0</v>
      </c>
      <c r="M8" s="57">
        <f t="shared" si="0"/>
        <v>0</v>
      </c>
      <c r="N8" s="57">
        <f t="shared" si="0"/>
        <v>0</v>
      </c>
      <c r="O8" s="57">
        <f t="shared" si="0"/>
        <v>0</v>
      </c>
      <c r="P8" s="57">
        <f t="shared" si="2"/>
        <v>0</v>
      </c>
      <c r="Q8" s="57">
        <f t="shared" si="2"/>
        <v>0</v>
      </c>
      <c r="R8" s="57">
        <f>$C8</f>
        <v>0</v>
      </c>
      <c r="S8" s="57">
        <f>$C8</f>
        <v>0</v>
      </c>
      <c r="T8" s="57">
        <f>$C8</f>
        <v>0</v>
      </c>
      <c r="U8" s="45">
        <f>'02_Giả định'!$E$42-'02_Giả định'!$B$39</f>
        <v>6.3439954856783776E-3</v>
      </c>
      <c r="V8" s="57">
        <f t="shared" ref="V8:W32" si="3">$C8</f>
        <v>0</v>
      </c>
      <c r="W8" s="57">
        <f t="shared" si="3"/>
        <v>0</v>
      </c>
    </row>
    <row r="9" spans="1:23" x14ac:dyDescent="0.3">
      <c r="A9" s="14" t="s">
        <v>363</v>
      </c>
      <c r="B9" s="19">
        <f>'02_Giả định'!B64</f>
        <v>0.28000000000000003</v>
      </c>
      <c r="C9" s="19">
        <f>'02_Giả định'!C64</f>
        <v>0.27</v>
      </c>
      <c r="D9" s="19">
        <f>'02_Giả định'!D64</f>
        <v>0.26</v>
      </c>
      <c r="H9" s="57">
        <f t="shared" si="0"/>
        <v>0.27</v>
      </c>
      <c r="I9" s="57">
        <f t="shared" si="0"/>
        <v>0.27</v>
      </c>
      <c r="J9" s="57">
        <f t="shared" si="0"/>
        <v>0.27</v>
      </c>
      <c r="K9" s="57">
        <f t="shared" si="0"/>
        <v>0.27</v>
      </c>
      <c r="L9" s="57">
        <f t="shared" si="0"/>
        <v>0.27</v>
      </c>
      <c r="M9" s="57">
        <f t="shared" si="0"/>
        <v>0.27</v>
      </c>
      <c r="N9" s="57">
        <f t="shared" si="0"/>
        <v>0.27</v>
      </c>
      <c r="O9" s="57">
        <f t="shared" si="0"/>
        <v>0.27</v>
      </c>
      <c r="P9" s="57">
        <f t="shared" si="2"/>
        <v>0.27</v>
      </c>
      <c r="Q9" s="57">
        <f t="shared" si="2"/>
        <v>0.27</v>
      </c>
      <c r="R9" s="45">
        <f>'02_Giả định'!$B$40</f>
        <v>0.27366485883852304</v>
      </c>
      <c r="S9" s="57">
        <f t="shared" ref="S9:U11" si="4">$C9</f>
        <v>0.27</v>
      </c>
      <c r="T9" s="57">
        <f t="shared" si="4"/>
        <v>0.27</v>
      </c>
      <c r="U9" s="57">
        <f t="shared" si="4"/>
        <v>0.27</v>
      </c>
      <c r="V9" s="57">
        <f t="shared" si="3"/>
        <v>0.27</v>
      </c>
      <c r="W9" s="57">
        <f t="shared" si="3"/>
        <v>0.27</v>
      </c>
    </row>
    <row r="10" spans="1:23" x14ac:dyDescent="0.3">
      <c r="A10" s="14" t="s">
        <v>414</v>
      </c>
      <c r="B10" s="19">
        <f>'02_Giả định'!B65</f>
        <v>0.09</v>
      </c>
      <c r="C10" s="19">
        <f>'02_Giả định'!C65</f>
        <v>0.09</v>
      </c>
      <c r="D10" s="19">
        <f>'02_Giả định'!D65</f>
        <v>0.09</v>
      </c>
      <c r="H10" s="57">
        <f t="shared" si="0"/>
        <v>0.09</v>
      </c>
      <c r="I10" s="57">
        <f t="shared" si="0"/>
        <v>0.09</v>
      </c>
      <c r="J10" s="57">
        <f t="shared" si="0"/>
        <v>0.09</v>
      </c>
      <c r="K10" s="57">
        <f t="shared" si="0"/>
        <v>0.09</v>
      </c>
      <c r="L10" s="57">
        <f t="shared" si="0"/>
        <v>0.09</v>
      </c>
      <c r="M10" s="57">
        <f t="shared" si="0"/>
        <v>0.09</v>
      </c>
      <c r="N10" s="57">
        <f t="shared" si="0"/>
        <v>0.09</v>
      </c>
      <c r="O10" s="57">
        <f t="shared" si="0"/>
        <v>0.09</v>
      </c>
      <c r="P10" s="57">
        <f t="shared" si="2"/>
        <v>0.09</v>
      </c>
      <c r="Q10" s="57">
        <f t="shared" si="2"/>
        <v>0.09</v>
      </c>
      <c r="R10" s="57">
        <f t="shared" ref="R10:R43" si="5">$C10</f>
        <v>0.09</v>
      </c>
      <c r="S10" s="57">
        <f t="shared" si="4"/>
        <v>0.09</v>
      </c>
      <c r="T10" s="57">
        <f t="shared" si="4"/>
        <v>0.09</v>
      </c>
      <c r="U10" s="57">
        <f t="shared" si="4"/>
        <v>0.09</v>
      </c>
      <c r="V10" s="57">
        <f t="shared" si="3"/>
        <v>0.09</v>
      </c>
      <c r="W10" s="57">
        <f t="shared" si="3"/>
        <v>0.09</v>
      </c>
    </row>
    <row r="11" spans="1:23" x14ac:dyDescent="0.3">
      <c r="A11" s="14" t="s">
        <v>415</v>
      </c>
      <c r="B11" s="19">
        <f>'02_Giả định'!B66</f>
        <v>0</v>
      </c>
      <c r="C11" s="19">
        <f>'02_Giả định'!C66</f>
        <v>0.03</v>
      </c>
      <c r="D11" s="19">
        <f>'02_Giả định'!D66</f>
        <v>0.05</v>
      </c>
      <c r="H11" s="57">
        <f t="shared" si="0"/>
        <v>0.03</v>
      </c>
      <c r="I11" s="57">
        <f t="shared" si="0"/>
        <v>0.03</v>
      </c>
      <c r="J11" s="57">
        <f t="shared" si="0"/>
        <v>0.03</v>
      </c>
      <c r="K11" s="57">
        <f t="shared" si="0"/>
        <v>0.03</v>
      </c>
      <c r="L11" s="57">
        <f t="shared" si="0"/>
        <v>0.03</v>
      </c>
      <c r="M11" s="57">
        <f t="shared" si="0"/>
        <v>0.03</v>
      </c>
      <c r="N11" s="57">
        <f t="shared" si="0"/>
        <v>0.03</v>
      </c>
      <c r="O11" s="57">
        <f t="shared" si="0"/>
        <v>0.03</v>
      </c>
      <c r="P11" s="57">
        <f t="shared" si="2"/>
        <v>0.03</v>
      </c>
      <c r="Q11" s="57">
        <f t="shared" si="2"/>
        <v>0.03</v>
      </c>
      <c r="R11" s="57">
        <f t="shared" si="5"/>
        <v>0.03</v>
      </c>
      <c r="S11" s="57">
        <f t="shared" si="4"/>
        <v>0.03</v>
      </c>
      <c r="T11" s="57">
        <f t="shared" si="4"/>
        <v>0.03</v>
      </c>
      <c r="U11" s="57">
        <f t="shared" si="4"/>
        <v>0.03</v>
      </c>
      <c r="V11" s="57">
        <f t="shared" si="3"/>
        <v>0.03</v>
      </c>
      <c r="W11" s="57">
        <f t="shared" si="3"/>
        <v>0.03</v>
      </c>
    </row>
    <row r="12" spans="1:23" x14ac:dyDescent="0.3">
      <c r="A12" s="14" t="s">
        <v>73</v>
      </c>
      <c r="B12" s="58">
        <f>'02_Giả định'!B72</f>
        <v>10.8</v>
      </c>
      <c r="C12" s="58">
        <f>'02_Giả định'!C72</f>
        <v>10.8</v>
      </c>
      <c r="D12" s="58">
        <f>'02_Giả định'!D72</f>
        <v>10.8</v>
      </c>
      <c r="H12" s="59">
        <f t="shared" si="0"/>
        <v>10.8</v>
      </c>
      <c r="I12" s="59">
        <f t="shared" si="0"/>
        <v>10.8</v>
      </c>
      <c r="J12" s="59">
        <f t="shared" si="0"/>
        <v>10.8</v>
      </c>
      <c r="K12" s="59">
        <f t="shared" si="0"/>
        <v>10.8</v>
      </c>
      <c r="L12" s="59">
        <f t="shared" si="0"/>
        <v>10.8</v>
      </c>
      <c r="M12" s="59">
        <f t="shared" si="0"/>
        <v>10.8</v>
      </c>
      <c r="N12" s="59">
        <f t="shared" si="0"/>
        <v>10.8</v>
      </c>
      <c r="O12" s="59">
        <f t="shared" si="0"/>
        <v>10.8</v>
      </c>
      <c r="P12" s="59">
        <f t="shared" si="2"/>
        <v>10.8</v>
      </c>
      <c r="Q12" s="59">
        <f t="shared" si="2"/>
        <v>10.8</v>
      </c>
      <c r="R12" s="59">
        <f t="shared" si="5"/>
        <v>10.8</v>
      </c>
      <c r="S12" s="53">
        <v>10</v>
      </c>
      <c r="T12" s="53">
        <f>'01_Số liệu gốc'!$B$144</f>
        <v>13.89</v>
      </c>
      <c r="U12" s="59">
        <f t="shared" ref="U12:W43" si="6">$C12</f>
        <v>10.8</v>
      </c>
      <c r="V12" s="59">
        <f t="shared" si="3"/>
        <v>10.8</v>
      </c>
      <c r="W12" s="59">
        <f t="shared" si="3"/>
        <v>10.8</v>
      </c>
    </row>
    <row r="13" spans="1:23" x14ac:dyDescent="0.3">
      <c r="A13" s="14" t="s">
        <v>370</v>
      </c>
      <c r="B13" s="58">
        <f>'02_Giả định'!B73</f>
        <v>6.6</v>
      </c>
      <c r="C13" s="58">
        <f>'02_Giả định'!C73</f>
        <v>6.6</v>
      </c>
      <c r="D13" s="58">
        <f>'02_Giả định'!D73</f>
        <v>6.6</v>
      </c>
      <c r="H13" s="59">
        <f t="shared" si="0"/>
        <v>6.6</v>
      </c>
      <c r="I13" s="59">
        <f t="shared" si="0"/>
        <v>6.6</v>
      </c>
      <c r="J13" s="59">
        <f t="shared" si="0"/>
        <v>6.6</v>
      </c>
      <c r="K13" s="59">
        <f t="shared" si="0"/>
        <v>6.6</v>
      </c>
      <c r="L13" s="59">
        <f t="shared" si="0"/>
        <v>6.6</v>
      </c>
      <c r="M13" s="59">
        <f t="shared" si="0"/>
        <v>6.6</v>
      </c>
      <c r="N13" s="59">
        <f t="shared" si="0"/>
        <v>6.6</v>
      </c>
      <c r="O13" s="59">
        <f t="shared" si="0"/>
        <v>6.6</v>
      </c>
      <c r="P13" s="59">
        <f t="shared" si="2"/>
        <v>6.6</v>
      </c>
      <c r="Q13" s="59">
        <f t="shared" si="2"/>
        <v>6.6</v>
      </c>
      <c r="R13" s="59">
        <f t="shared" si="5"/>
        <v>6.6</v>
      </c>
      <c r="S13" s="59">
        <f t="shared" ref="S13:T43" si="7">$C13</f>
        <v>6.6</v>
      </c>
      <c r="T13" s="59">
        <f t="shared" si="7"/>
        <v>6.6</v>
      </c>
      <c r="U13" s="59">
        <f t="shared" si="6"/>
        <v>6.6</v>
      </c>
      <c r="V13" s="59">
        <f t="shared" si="3"/>
        <v>6.6</v>
      </c>
      <c r="W13" s="59">
        <f t="shared" si="3"/>
        <v>6.6</v>
      </c>
    </row>
    <row r="14" spans="1:23" x14ac:dyDescent="0.3">
      <c r="A14" s="14" t="s">
        <v>416</v>
      </c>
      <c r="B14" s="19">
        <f>'02_Giả định'!B75</f>
        <v>9.5000000000000001E-2</v>
      </c>
      <c r="C14" s="19">
        <f>'02_Giả định'!C75</f>
        <v>0.115</v>
      </c>
      <c r="D14" s="19">
        <f>'02_Giả định'!D75</f>
        <v>0.14000000000000001</v>
      </c>
      <c r="H14" s="57">
        <f t="shared" si="0"/>
        <v>0.115</v>
      </c>
      <c r="I14" s="57">
        <f t="shared" si="0"/>
        <v>0.115</v>
      </c>
      <c r="J14" s="57">
        <f t="shared" si="0"/>
        <v>0.115</v>
      </c>
      <c r="K14" s="57">
        <f t="shared" si="0"/>
        <v>0.115</v>
      </c>
      <c r="L14" s="57">
        <f t="shared" si="0"/>
        <v>0.115</v>
      </c>
      <c r="M14" s="57">
        <f t="shared" si="0"/>
        <v>0.115</v>
      </c>
      <c r="N14" s="57">
        <f t="shared" si="0"/>
        <v>0.115</v>
      </c>
      <c r="O14" s="57">
        <f t="shared" si="0"/>
        <v>0.115</v>
      </c>
      <c r="P14" s="57">
        <f t="shared" si="2"/>
        <v>0.115</v>
      </c>
      <c r="Q14" s="57">
        <f t="shared" si="2"/>
        <v>0.115</v>
      </c>
      <c r="R14" s="57">
        <f t="shared" si="5"/>
        <v>0.115</v>
      </c>
      <c r="S14" s="57">
        <f t="shared" si="7"/>
        <v>0.115</v>
      </c>
      <c r="T14" s="57">
        <f t="shared" si="7"/>
        <v>0.115</v>
      </c>
      <c r="U14" s="57">
        <f t="shared" si="6"/>
        <v>0.115</v>
      </c>
      <c r="V14" s="57">
        <f t="shared" si="3"/>
        <v>0.115</v>
      </c>
      <c r="W14" s="57">
        <f t="shared" si="3"/>
        <v>0.115</v>
      </c>
    </row>
    <row r="15" spans="1:23" x14ac:dyDescent="0.3">
      <c r="A15" s="14" t="s">
        <v>417</v>
      </c>
      <c r="B15" s="15">
        <f>'02_Giả định'!B77</f>
        <v>1000</v>
      </c>
      <c r="C15" s="15">
        <f>'02_Giả định'!C77</f>
        <v>1500</v>
      </c>
      <c r="D15" s="15">
        <f>'02_Giả định'!D77</f>
        <v>2000</v>
      </c>
      <c r="H15" s="29">
        <f t="shared" ref="H15:N20" si="8">$C15</f>
        <v>1500</v>
      </c>
      <c r="I15" s="29">
        <f t="shared" si="8"/>
        <v>1500</v>
      </c>
      <c r="J15" s="29">
        <f t="shared" si="8"/>
        <v>1500</v>
      </c>
      <c r="K15" s="29">
        <f t="shared" si="8"/>
        <v>1500</v>
      </c>
      <c r="L15" s="29">
        <f t="shared" si="8"/>
        <v>1500</v>
      </c>
      <c r="M15" s="29">
        <f t="shared" si="8"/>
        <v>1500</v>
      </c>
      <c r="N15" s="29">
        <f t="shared" si="8"/>
        <v>1500</v>
      </c>
      <c r="O15" s="34">
        <v>1000</v>
      </c>
      <c r="P15" s="29">
        <f t="shared" si="2"/>
        <v>1500</v>
      </c>
      <c r="Q15" s="29">
        <f t="shared" si="2"/>
        <v>1500</v>
      </c>
      <c r="R15" s="29">
        <f t="shared" si="5"/>
        <v>1500</v>
      </c>
      <c r="S15" s="29">
        <f t="shared" si="7"/>
        <v>1500</v>
      </c>
      <c r="T15" s="29">
        <f t="shared" si="7"/>
        <v>1500</v>
      </c>
      <c r="U15" s="29">
        <f t="shared" si="6"/>
        <v>1500</v>
      </c>
      <c r="V15" s="29">
        <f t="shared" si="3"/>
        <v>1500</v>
      </c>
      <c r="W15" s="29">
        <f t="shared" si="3"/>
        <v>1500</v>
      </c>
    </row>
    <row r="16" spans="1:23" x14ac:dyDescent="0.3">
      <c r="A16" s="14" t="s">
        <v>378</v>
      </c>
      <c r="B16" s="19">
        <f>'02_Giả định'!B78</f>
        <v>6.5000000000000002E-2</v>
      </c>
      <c r="C16" s="19">
        <f>'02_Giả định'!C78</f>
        <v>7.0000000000000007E-2</v>
      </c>
      <c r="D16" s="19">
        <f>'02_Giả định'!D78</f>
        <v>7.4999999999999997E-2</v>
      </c>
      <c r="H16" s="57">
        <f t="shared" si="8"/>
        <v>7.0000000000000007E-2</v>
      </c>
      <c r="I16" s="57">
        <f t="shared" si="8"/>
        <v>7.0000000000000007E-2</v>
      </c>
      <c r="J16" s="57">
        <f t="shared" si="8"/>
        <v>7.0000000000000007E-2</v>
      </c>
      <c r="K16" s="57">
        <f t="shared" si="8"/>
        <v>7.0000000000000007E-2</v>
      </c>
      <c r="L16" s="57">
        <f t="shared" si="8"/>
        <v>7.0000000000000007E-2</v>
      </c>
      <c r="M16" s="57">
        <f t="shared" si="8"/>
        <v>7.0000000000000007E-2</v>
      </c>
      <c r="N16" s="57">
        <f t="shared" si="8"/>
        <v>7.0000000000000007E-2</v>
      </c>
      <c r="O16" s="57">
        <f t="shared" ref="O16:O43" si="9">$C16</f>
        <v>7.0000000000000007E-2</v>
      </c>
      <c r="P16" s="57">
        <f t="shared" si="2"/>
        <v>7.0000000000000007E-2</v>
      </c>
      <c r="Q16" s="57">
        <f t="shared" si="2"/>
        <v>7.0000000000000007E-2</v>
      </c>
      <c r="R16" s="57">
        <f t="shared" si="5"/>
        <v>7.0000000000000007E-2</v>
      </c>
      <c r="S16" s="57">
        <f t="shared" si="7"/>
        <v>7.0000000000000007E-2</v>
      </c>
      <c r="T16" s="57">
        <f t="shared" si="7"/>
        <v>7.0000000000000007E-2</v>
      </c>
      <c r="U16" s="57">
        <f t="shared" si="6"/>
        <v>7.0000000000000007E-2</v>
      </c>
      <c r="V16" s="57">
        <f t="shared" si="3"/>
        <v>7.0000000000000007E-2</v>
      </c>
      <c r="W16" s="57">
        <f t="shared" si="3"/>
        <v>7.0000000000000007E-2</v>
      </c>
    </row>
    <row r="17" spans="1:23" x14ac:dyDescent="0.3">
      <c r="A17" s="14" t="s">
        <v>418</v>
      </c>
      <c r="B17" s="27">
        <f>'06_Dự án'!B6</f>
        <v>860</v>
      </c>
      <c r="C17" s="27">
        <f>'06_Dự án'!C6</f>
        <v>784</v>
      </c>
      <c r="D17" s="27">
        <f>'06_Dự án'!D6</f>
        <v>784</v>
      </c>
      <c r="H17" s="43">
        <f t="shared" si="8"/>
        <v>784</v>
      </c>
      <c r="I17" s="43">
        <f t="shared" si="8"/>
        <v>784</v>
      </c>
      <c r="J17" s="43">
        <f t="shared" si="8"/>
        <v>784</v>
      </c>
      <c r="K17" s="43">
        <f t="shared" si="8"/>
        <v>784</v>
      </c>
      <c r="L17" s="43">
        <f t="shared" si="8"/>
        <v>784</v>
      </c>
      <c r="M17" s="43">
        <f t="shared" si="8"/>
        <v>784</v>
      </c>
      <c r="N17" s="43">
        <f t="shared" si="8"/>
        <v>784</v>
      </c>
      <c r="O17" s="43">
        <f t="shared" si="9"/>
        <v>784</v>
      </c>
      <c r="P17" s="43">
        <f t="shared" si="2"/>
        <v>784</v>
      </c>
      <c r="Q17" s="43">
        <f t="shared" si="2"/>
        <v>784</v>
      </c>
      <c r="R17" s="43">
        <f t="shared" si="5"/>
        <v>784</v>
      </c>
      <c r="S17" s="43">
        <f t="shared" si="7"/>
        <v>784</v>
      </c>
      <c r="T17" s="43">
        <f t="shared" si="7"/>
        <v>784</v>
      </c>
      <c r="U17" s="43">
        <f t="shared" si="6"/>
        <v>784</v>
      </c>
      <c r="V17" s="43">
        <f t="shared" si="3"/>
        <v>784</v>
      </c>
      <c r="W17" s="43">
        <f t="shared" si="3"/>
        <v>784</v>
      </c>
    </row>
    <row r="18" spans="1:23" x14ac:dyDescent="0.3">
      <c r="A18" s="14" t="s">
        <v>419</v>
      </c>
      <c r="B18" s="27">
        <f>'06_Dự án'!B7</f>
        <v>336</v>
      </c>
      <c r="C18" s="27">
        <f>'06_Dự án'!C7</f>
        <v>336</v>
      </c>
      <c r="D18" s="27">
        <f>'06_Dự án'!D7</f>
        <v>336</v>
      </c>
      <c r="H18" s="43">
        <f t="shared" si="8"/>
        <v>336</v>
      </c>
      <c r="I18" s="43">
        <f t="shared" si="8"/>
        <v>336</v>
      </c>
      <c r="J18" s="43">
        <f t="shared" si="8"/>
        <v>336</v>
      </c>
      <c r="K18" s="43">
        <f t="shared" si="8"/>
        <v>336</v>
      </c>
      <c r="L18" s="43">
        <f t="shared" si="8"/>
        <v>336</v>
      </c>
      <c r="M18" s="43">
        <f t="shared" si="8"/>
        <v>336</v>
      </c>
      <c r="N18" s="43">
        <f t="shared" si="8"/>
        <v>336</v>
      </c>
      <c r="O18" s="43">
        <f t="shared" si="9"/>
        <v>336</v>
      </c>
      <c r="P18" s="43">
        <f t="shared" si="2"/>
        <v>336</v>
      </c>
      <c r="Q18" s="43">
        <f t="shared" si="2"/>
        <v>336</v>
      </c>
      <c r="R18" s="43">
        <f t="shared" si="5"/>
        <v>336</v>
      </c>
      <c r="S18" s="43">
        <f t="shared" si="7"/>
        <v>336</v>
      </c>
      <c r="T18" s="43">
        <f t="shared" si="7"/>
        <v>336</v>
      </c>
      <c r="U18" s="43">
        <f t="shared" si="6"/>
        <v>336</v>
      </c>
      <c r="V18" s="43">
        <f t="shared" si="3"/>
        <v>336</v>
      </c>
      <c r="W18" s="43">
        <f t="shared" si="3"/>
        <v>336</v>
      </c>
    </row>
    <row r="19" spans="1:23" x14ac:dyDescent="0.3">
      <c r="A19" s="14" t="s">
        <v>420</v>
      </c>
      <c r="B19" s="27">
        <f>'06_Dự án'!B8</f>
        <v>18</v>
      </c>
      <c r="C19" s="27">
        <f>'06_Dự án'!C8</f>
        <v>20</v>
      </c>
      <c r="D19" s="27">
        <f>'06_Dự án'!D8</f>
        <v>22</v>
      </c>
      <c r="H19" s="43">
        <f t="shared" si="8"/>
        <v>20</v>
      </c>
      <c r="I19" s="43">
        <f t="shared" si="8"/>
        <v>20</v>
      </c>
      <c r="J19" s="43">
        <f t="shared" si="8"/>
        <v>20</v>
      </c>
      <c r="K19" s="43">
        <f t="shared" si="8"/>
        <v>20</v>
      </c>
      <c r="L19" s="43">
        <f t="shared" si="8"/>
        <v>20</v>
      </c>
      <c r="M19" s="43">
        <f t="shared" si="8"/>
        <v>20</v>
      </c>
      <c r="N19" s="43">
        <f t="shared" si="8"/>
        <v>20</v>
      </c>
      <c r="O19" s="43">
        <f t="shared" si="9"/>
        <v>20</v>
      </c>
      <c r="P19" s="43">
        <f t="shared" si="2"/>
        <v>20</v>
      </c>
      <c r="Q19" s="43">
        <f t="shared" si="2"/>
        <v>20</v>
      </c>
      <c r="R19" s="43">
        <f t="shared" si="5"/>
        <v>20</v>
      </c>
      <c r="S19" s="43">
        <f t="shared" si="7"/>
        <v>20</v>
      </c>
      <c r="T19" s="43">
        <f t="shared" si="7"/>
        <v>20</v>
      </c>
      <c r="U19" s="43">
        <f t="shared" si="6"/>
        <v>20</v>
      </c>
      <c r="V19" s="43">
        <f t="shared" si="3"/>
        <v>20</v>
      </c>
      <c r="W19" s="43">
        <f t="shared" si="3"/>
        <v>20</v>
      </c>
    </row>
    <row r="20" spans="1:23" x14ac:dyDescent="0.3">
      <c r="A20" s="14" t="s">
        <v>421</v>
      </c>
      <c r="B20" s="16">
        <f>'06_Dự án'!B9</f>
        <v>0.3</v>
      </c>
      <c r="C20" s="16">
        <f>'06_Dự án'!C9</f>
        <v>0.5</v>
      </c>
      <c r="D20" s="16">
        <f>'06_Dự án'!D9</f>
        <v>0.6</v>
      </c>
      <c r="H20" s="60">
        <f t="shared" si="8"/>
        <v>0.5</v>
      </c>
      <c r="I20" s="60">
        <f t="shared" si="8"/>
        <v>0.5</v>
      </c>
      <c r="J20" s="60">
        <f t="shared" si="8"/>
        <v>0.5</v>
      </c>
      <c r="K20" s="60">
        <f t="shared" si="8"/>
        <v>0.5</v>
      </c>
      <c r="L20" s="60">
        <f t="shared" si="8"/>
        <v>0.5</v>
      </c>
      <c r="M20" s="60">
        <f t="shared" si="8"/>
        <v>0.5</v>
      </c>
      <c r="N20" s="60">
        <f t="shared" si="8"/>
        <v>0.5</v>
      </c>
      <c r="O20" s="60">
        <f t="shared" si="9"/>
        <v>0.5</v>
      </c>
      <c r="P20" s="60">
        <f t="shared" si="2"/>
        <v>0.5</v>
      </c>
      <c r="Q20" s="60">
        <f t="shared" si="2"/>
        <v>0.5</v>
      </c>
      <c r="R20" s="60">
        <f t="shared" si="5"/>
        <v>0.5</v>
      </c>
      <c r="S20" s="60">
        <f t="shared" si="7"/>
        <v>0.5</v>
      </c>
      <c r="T20" s="60">
        <f t="shared" si="7"/>
        <v>0.5</v>
      </c>
      <c r="U20" s="60">
        <f t="shared" si="6"/>
        <v>0.5</v>
      </c>
      <c r="V20" s="60">
        <f t="shared" si="3"/>
        <v>0.5</v>
      </c>
      <c r="W20" s="60">
        <f t="shared" si="3"/>
        <v>0.5</v>
      </c>
    </row>
    <row r="21" spans="1:23" x14ac:dyDescent="0.3">
      <c r="A21" s="14" t="s">
        <v>422</v>
      </c>
      <c r="B21" s="15">
        <f>'06_Dự án'!B10</f>
        <v>13000</v>
      </c>
      <c r="C21" s="15">
        <f>'06_Dự án'!C10</f>
        <v>14500</v>
      </c>
      <c r="D21" s="15">
        <f>'06_Dự án'!D10</f>
        <v>15000</v>
      </c>
      <c r="H21" s="29">
        <f t="shared" ref="H21:J26" si="10">$C21</f>
        <v>14500</v>
      </c>
      <c r="I21" s="29">
        <f t="shared" si="10"/>
        <v>14500</v>
      </c>
      <c r="J21" s="29">
        <f t="shared" si="10"/>
        <v>14500</v>
      </c>
      <c r="K21" s="34">
        <v>13000</v>
      </c>
      <c r="L21" s="29">
        <f>$C21</f>
        <v>14500</v>
      </c>
      <c r="M21" s="29">
        <f>$C21</f>
        <v>14500</v>
      </c>
      <c r="N21" s="29">
        <f>$C21</f>
        <v>14500</v>
      </c>
      <c r="O21" s="29">
        <f t="shared" si="9"/>
        <v>14500</v>
      </c>
      <c r="P21" s="29">
        <f t="shared" si="2"/>
        <v>14500</v>
      </c>
      <c r="Q21" s="29">
        <f t="shared" si="2"/>
        <v>14500</v>
      </c>
      <c r="R21" s="29">
        <f t="shared" si="5"/>
        <v>14500</v>
      </c>
      <c r="S21" s="29">
        <f t="shared" si="7"/>
        <v>14500</v>
      </c>
      <c r="T21" s="29">
        <f t="shared" si="7"/>
        <v>14500</v>
      </c>
      <c r="U21" s="29">
        <f t="shared" si="6"/>
        <v>14500</v>
      </c>
      <c r="V21" s="29">
        <f t="shared" si="3"/>
        <v>14500</v>
      </c>
      <c r="W21" s="29">
        <f t="shared" si="3"/>
        <v>14500</v>
      </c>
    </row>
    <row r="22" spans="1:23" x14ac:dyDescent="0.3">
      <c r="A22" s="14" t="s">
        <v>423</v>
      </c>
      <c r="B22" s="15">
        <f>'06_Dự án'!B11</f>
        <v>10500</v>
      </c>
      <c r="C22" s="15">
        <f>'06_Dự án'!C11</f>
        <v>10500</v>
      </c>
      <c r="D22" s="15">
        <f>'06_Dự án'!D11</f>
        <v>10500</v>
      </c>
      <c r="H22" s="29">
        <f t="shared" si="10"/>
        <v>10500</v>
      </c>
      <c r="I22" s="29">
        <f t="shared" si="10"/>
        <v>10500</v>
      </c>
      <c r="J22" s="29">
        <f t="shared" si="10"/>
        <v>10500</v>
      </c>
      <c r="K22" s="29">
        <f t="shared" ref="K22:K43" si="11">$C22</f>
        <v>10500</v>
      </c>
      <c r="L22" s="34">
        <v>11500</v>
      </c>
      <c r="M22" s="29">
        <f t="shared" ref="M22:N31" si="12">$C22</f>
        <v>10500</v>
      </c>
      <c r="N22" s="29">
        <f t="shared" si="12"/>
        <v>10500</v>
      </c>
      <c r="O22" s="29">
        <f t="shared" si="9"/>
        <v>10500</v>
      </c>
      <c r="P22" s="29">
        <f t="shared" si="2"/>
        <v>10500</v>
      </c>
      <c r="Q22" s="29">
        <f t="shared" si="2"/>
        <v>10500</v>
      </c>
      <c r="R22" s="29">
        <f t="shared" si="5"/>
        <v>10500</v>
      </c>
      <c r="S22" s="29">
        <f t="shared" si="7"/>
        <v>10500</v>
      </c>
      <c r="T22" s="29">
        <f t="shared" si="7"/>
        <v>10500</v>
      </c>
      <c r="U22" s="29">
        <f t="shared" si="6"/>
        <v>10500</v>
      </c>
      <c r="V22" s="29">
        <f t="shared" si="3"/>
        <v>10500</v>
      </c>
      <c r="W22" s="29">
        <f t="shared" si="3"/>
        <v>10500</v>
      </c>
    </row>
    <row r="23" spans="1:23" x14ac:dyDescent="0.3">
      <c r="A23" s="14" t="s">
        <v>424</v>
      </c>
      <c r="B23" s="16">
        <f>'06_Dự án'!B12</f>
        <v>0.05</v>
      </c>
      <c r="C23" s="16">
        <f>'06_Dự án'!C12</f>
        <v>0.05</v>
      </c>
      <c r="D23" s="16">
        <f>'06_Dự án'!D12</f>
        <v>0.05</v>
      </c>
      <c r="H23" s="60">
        <f t="shared" si="10"/>
        <v>0.05</v>
      </c>
      <c r="I23" s="60">
        <f t="shared" si="10"/>
        <v>0.05</v>
      </c>
      <c r="J23" s="60">
        <f t="shared" si="10"/>
        <v>0.05</v>
      </c>
      <c r="K23" s="60">
        <f t="shared" si="11"/>
        <v>0.05</v>
      </c>
      <c r="L23" s="60">
        <f t="shared" ref="L23:L43" si="13">$C23</f>
        <v>0.05</v>
      </c>
      <c r="M23" s="60">
        <f t="shared" si="12"/>
        <v>0.05</v>
      </c>
      <c r="N23" s="60">
        <f t="shared" si="12"/>
        <v>0.05</v>
      </c>
      <c r="O23" s="60">
        <f t="shared" si="9"/>
        <v>0.05</v>
      </c>
      <c r="P23" s="60">
        <f t="shared" si="2"/>
        <v>0.05</v>
      </c>
      <c r="Q23" s="60">
        <f t="shared" si="2"/>
        <v>0.05</v>
      </c>
      <c r="R23" s="60">
        <f t="shared" si="5"/>
        <v>0.05</v>
      </c>
      <c r="S23" s="60">
        <f t="shared" si="7"/>
        <v>0.05</v>
      </c>
      <c r="T23" s="60">
        <f t="shared" si="7"/>
        <v>0.05</v>
      </c>
      <c r="U23" s="60">
        <f t="shared" si="6"/>
        <v>0.05</v>
      </c>
      <c r="V23" s="60">
        <f t="shared" si="3"/>
        <v>0.05</v>
      </c>
      <c r="W23" s="60">
        <f t="shared" si="3"/>
        <v>0.05</v>
      </c>
    </row>
    <row r="24" spans="1:23" x14ac:dyDescent="0.3">
      <c r="A24" s="14" t="s">
        <v>425</v>
      </c>
      <c r="B24" s="27">
        <f>'06_Dự án'!B13</f>
        <v>15</v>
      </c>
      <c r="C24" s="27">
        <f>'06_Dự án'!C13</f>
        <v>15</v>
      </c>
      <c r="D24" s="27">
        <f>'06_Dự án'!D13</f>
        <v>15</v>
      </c>
      <c r="H24" s="43">
        <f t="shared" si="10"/>
        <v>15</v>
      </c>
      <c r="I24" s="43">
        <f t="shared" si="10"/>
        <v>15</v>
      </c>
      <c r="J24" s="43">
        <f t="shared" si="10"/>
        <v>15</v>
      </c>
      <c r="K24" s="43">
        <f t="shared" si="11"/>
        <v>15</v>
      </c>
      <c r="L24" s="43">
        <f t="shared" si="13"/>
        <v>15</v>
      </c>
      <c r="M24" s="43">
        <f t="shared" si="12"/>
        <v>15</v>
      </c>
      <c r="N24" s="43">
        <f t="shared" si="12"/>
        <v>15</v>
      </c>
      <c r="O24" s="43">
        <f t="shared" si="9"/>
        <v>15</v>
      </c>
      <c r="P24" s="43">
        <f t="shared" si="2"/>
        <v>15</v>
      </c>
      <c r="Q24" s="43">
        <f t="shared" si="2"/>
        <v>15</v>
      </c>
      <c r="R24" s="43">
        <f t="shared" si="5"/>
        <v>15</v>
      </c>
      <c r="S24" s="43">
        <f t="shared" si="7"/>
        <v>15</v>
      </c>
      <c r="T24" s="43">
        <f t="shared" si="7"/>
        <v>15</v>
      </c>
      <c r="U24" s="43">
        <f t="shared" si="6"/>
        <v>15</v>
      </c>
      <c r="V24" s="43">
        <f t="shared" si="3"/>
        <v>15</v>
      </c>
      <c r="W24" s="43">
        <f t="shared" si="3"/>
        <v>15</v>
      </c>
    </row>
    <row r="25" spans="1:23" x14ac:dyDescent="0.3">
      <c r="A25" s="14" t="s">
        <v>426</v>
      </c>
      <c r="B25" s="61">
        <f>'06_Dự án'!B14</f>
        <v>20</v>
      </c>
      <c r="C25" s="61">
        <f>'06_Dự án'!C14</f>
        <v>20</v>
      </c>
      <c r="D25" s="61">
        <f>'06_Dự án'!D14</f>
        <v>20</v>
      </c>
      <c r="H25" s="62">
        <f t="shared" si="10"/>
        <v>20</v>
      </c>
      <c r="I25" s="62">
        <f t="shared" si="10"/>
        <v>20</v>
      </c>
      <c r="J25" s="62">
        <f t="shared" si="10"/>
        <v>20</v>
      </c>
      <c r="K25" s="62">
        <f t="shared" si="11"/>
        <v>20</v>
      </c>
      <c r="L25" s="62">
        <f t="shared" si="13"/>
        <v>20</v>
      </c>
      <c r="M25" s="62">
        <f t="shared" si="12"/>
        <v>20</v>
      </c>
      <c r="N25" s="62">
        <f t="shared" si="12"/>
        <v>20</v>
      </c>
      <c r="O25" s="62">
        <f t="shared" si="9"/>
        <v>20</v>
      </c>
      <c r="P25" s="62">
        <f t="shared" si="2"/>
        <v>20</v>
      </c>
      <c r="Q25" s="62">
        <f t="shared" si="2"/>
        <v>20</v>
      </c>
      <c r="R25" s="62">
        <f t="shared" si="5"/>
        <v>20</v>
      </c>
      <c r="S25" s="62">
        <f t="shared" si="7"/>
        <v>20</v>
      </c>
      <c r="T25" s="62">
        <f t="shared" si="7"/>
        <v>20</v>
      </c>
      <c r="U25" s="62">
        <f t="shared" si="6"/>
        <v>20</v>
      </c>
      <c r="V25" s="62">
        <f t="shared" si="3"/>
        <v>20</v>
      </c>
      <c r="W25" s="62">
        <f t="shared" si="3"/>
        <v>20</v>
      </c>
    </row>
    <row r="26" spans="1:23" x14ac:dyDescent="0.3">
      <c r="A26" s="14" t="s">
        <v>427</v>
      </c>
      <c r="B26" s="27">
        <f>'06_Dự án'!B15</f>
        <v>0</v>
      </c>
      <c r="C26" s="27">
        <f>'06_Dự án'!C15</f>
        <v>10</v>
      </c>
      <c r="D26" s="27">
        <f>'06_Dự án'!D15</f>
        <v>25</v>
      </c>
      <c r="H26" s="43">
        <f t="shared" si="10"/>
        <v>10</v>
      </c>
      <c r="I26" s="43">
        <f t="shared" si="10"/>
        <v>10</v>
      </c>
      <c r="J26" s="43">
        <f t="shared" si="10"/>
        <v>10</v>
      </c>
      <c r="K26" s="43">
        <f t="shared" si="11"/>
        <v>10</v>
      </c>
      <c r="L26" s="43">
        <f t="shared" si="13"/>
        <v>10</v>
      </c>
      <c r="M26" s="43">
        <f t="shared" si="12"/>
        <v>10</v>
      </c>
      <c r="N26" s="43">
        <f t="shared" si="12"/>
        <v>10</v>
      </c>
      <c r="O26" s="43">
        <f t="shared" si="9"/>
        <v>10</v>
      </c>
      <c r="P26" s="43">
        <f t="shared" si="2"/>
        <v>10</v>
      </c>
      <c r="Q26" s="43">
        <f t="shared" si="2"/>
        <v>10</v>
      </c>
      <c r="R26" s="43">
        <f t="shared" si="5"/>
        <v>10</v>
      </c>
      <c r="S26" s="43">
        <f t="shared" si="7"/>
        <v>10</v>
      </c>
      <c r="T26" s="43">
        <f t="shared" si="7"/>
        <v>10</v>
      </c>
      <c r="U26" s="43">
        <f t="shared" si="6"/>
        <v>10</v>
      </c>
      <c r="V26" s="43">
        <f t="shared" si="3"/>
        <v>10</v>
      </c>
      <c r="W26" s="43">
        <f t="shared" si="3"/>
        <v>10</v>
      </c>
    </row>
    <row r="27" spans="1:23" x14ac:dyDescent="0.3">
      <c r="A27" s="14" t="s">
        <v>428</v>
      </c>
      <c r="B27" s="61">
        <f>'06_Dự án'!B19</f>
        <v>1</v>
      </c>
      <c r="C27" s="61">
        <f>'06_Dự án'!C19</f>
        <v>1</v>
      </c>
      <c r="D27" s="61">
        <f>'06_Dự án'!D19</f>
        <v>1</v>
      </c>
      <c r="H27" s="62">
        <f t="shared" ref="H27:H43" si="14">$C27</f>
        <v>1</v>
      </c>
      <c r="I27" s="63">
        <v>0</v>
      </c>
      <c r="J27" s="62">
        <f>$C27</f>
        <v>1</v>
      </c>
      <c r="K27" s="62">
        <f t="shared" si="11"/>
        <v>1</v>
      </c>
      <c r="L27" s="62">
        <f t="shared" si="13"/>
        <v>1</v>
      </c>
      <c r="M27" s="62">
        <f t="shared" si="12"/>
        <v>1</v>
      </c>
      <c r="N27" s="62">
        <f t="shared" si="12"/>
        <v>1</v>
      </c>
      <c r="O27" s="62">
        <f t="shared" si="9"/>
        <v>1</v>
      </c>
      <c r="P27" s="62">
        <f t="shared" ref="P27:Q43" si="15">$C27</f>
        <v>1</v>
      </c>
      <c r="Q27" s="62">
        <f t="shared" si="15"/>
        <v>1</v>
      </c>
      <c r="R27" s="62">
        <f t="shared" si="5"/>
        <v>1</v>
      </c>
      <c r="S27" s="62">
        <f t="shared" si="7"/>
        <v>1</v>
      </c>
      <c r="T27" s="62">
        <f t="shared" si="7"/>
        <v>1</v>
      </c>
      <c r="U27" s="62">
        <f t="shared" si="6"/>
        <v>1</v>
      </c>
      <c r="V27" s="62">
        <f t="shared" si="3"/>
        <v>1</v>
      </c>
      <c r="W27" s="62">
        <f t="shared" si="3"/>
        <v>1</v>
      </c>
    </row>
    <row r="28" spans="1:23" x14ac:dyDescent="0.3">
      <c r="A28" s="14" t="s">
        <v>429</v>
      </c>
      <c r="B28" s="27">
        <f>'06_Dự án'!B20</f>
        <v>850</v>
      </c>
      <c r="C28" s="27">
        <f>'06_Dự án'!C20</f>
        <v>743</v>
      </c>
      <c r="D28" s="27">
        <f>'06_Dự án'!D20</f>
        <v>743</v>
      </c>
      <c r="H28" s="43">
        <f t="shared" si="14"/>
        <v>743</v>
      </c>
      <c r="I28" s="43">
        <f t="shared" ref="I28:I43" si="16">$C28</f>
        <v>743</v>
      </c>
      <c r="J28" s="43">
        <f>$C28</f>
        <v>743</v>
      </c>
      <c r="K28" s="43">
        <f t="shared" si="11"/>
        <v>743</v>
      </c>
      <c r="L28" s="43">
        <f t="shared" si="13"/>
        <v>743</v>
      </c>
      <c r="M28" s="43">
        <f t="shared" si="12"/>
        <v>743</v>
      </c>
      <c r="N28" s="43">
        <f t="shared" si="12"/>
        <v>743</v>
      </c>
      <c r="O28" s="43">
        <f t="shared" si="9"/>
        <v>743</v>
      </c>
      <c r="P28" s="43">
        <f t="shared" si="15"/>
        <v>743</v>
      </c>
      <c r="Q28" s="43">
        <f t="shared" si="15"/>
        <v>743</v>
      </c>
      <c r="R28" s="43">
        <f t="shared" si="5"/>
        <v>743</v>
      </c>
      <c r="S28" s="43">
        <f t="shared" si="7"/>
        <v>743</v>
      </c>
      <c r="T28" s="43">
        <f t="shared" si="7"/>
        <v>743</v>
      </c>
      <c r="U28" s="43">
        <f t="shared" si="6"/>
        <v>743</v>
      </c>
      <c r="V28" s="43">
        <f t="shared" si="3"/>
        <v>743</v>
      </c>
      <c r="W28" s="43">
        <f t="shared" si="3"/>
        <v>743</v>
      </c>
    </row>
    <row r="29" spans="1:23" x14ac:dyDescent="0.3">
      <c r="A29" s="14" t="s">
        <v>430</v>
      </c>
      <c r="B29" s="61">
        <f>'06_Dự án'!B21</f>
        <v>2032</v>
      </c>
      <c r="C29" s="61">
        <f>'06_Dự án'!C21</f>
        <v>2030</v>
      </c>
      <c r="D29" s="61">
        <f>'06_Dự án'!D21</f>
        <v>2030</v>
      </c>
      <c r="H29" s="62">
        <f t="shared" si="14"/>
        <v>2030</v>
      </c>
      <c r="I29" s="62">
        <f t="shared" si="16"/>
        <v>2030</v>
      </c>
      <c r="J29" s="63">
        <v>2028</v>
      </c>
      <c r="K29" s="62">
        <f t="shared" si="11"/>
        <v>2030</v>
      </c>
      <c r="L29" s="62">
        <f t="shared" si="13"/>
        <v>2030</v>
      </c>
      <c r="M29" s="62">
        <f t="shared" si="12"/>
        <v>2030</v>
      </c>
      <c r="N29" s="62">
        <f t="shared" si="12"/>
        <v>2030</v>
      </c>
      <c r="O29" s="62">
        <f t="shared" si="9"/>
        <v>2030</v>
      </c>
      <c r="P29" s="62">
        <f t="shared" si="15"/>
        <v>2030</v>
      </c>
      <c r="Q29" s="62">
        <f t="shared" si="15"/>
        <v>2030</v>
      </c>
      <c r="R29" s="62">
        <f t="shared" si="5"/>
        <v>2030</v>
      </c>
      <c r="S29" s="62">
        <f t="shared" si="7"/>
        <v>2030</v>
      </c>
      <c r="T29" s="62">
        <f t="shared" si="7"/>
        <v>2030</v>
      </c>
      <c r="U29" s="62">
        <f t="shared" si="6"/>
        <v>2030</v>
      </c>
      <c r="V29" s="62">
        <f t="shared" si="3"/>
        <v>2030</v>
      </c>
      <c r="W29" s="62">
        <f t="shared" si="3"/>
        <v>2030</v>
      </c>
    </row>
    <row r="30" spans="1:23" x14ac:dyDescent="0.3">
      <c r="A30" s="14" t="s">
        <v>870</v>
      </c>
      <c r="B30" s="27">
        <f>'06_Dự án'!B22</f>
        <v>20</v>
      </c>
      <c r="C30" s="27">
        <f>'06_Dự án'!C22</f>
        <v>45</v>
      </c>
      <c r="D30" s="27">
        <f>'06_Dự án'!D22</f>
        <v>45</v>
      </c>
      <c r="H30" s="43">
        <f t="shared" si="14"/>
        <v>45</v>
      </c>
      <c r="I30" s="43">
        <f t="shared" si="16"/>
        <v>45</v>
      </c>
      <c r="J30" s="43">
        <f t="shared" ref="J30:J43" si="17">$C30</f>
        <v>45</v>
      </c>
      <c r="K30" s="43">
        <f t="shared" si="11"/>
        <v>45</v>
      </c>
      <c r="L30" s="43">
        <f t="shared" si="13"/>
        <v>45</v>
      </c>
      <c r="M30" s="43">
        <f t="shared" si="12"/>
        <v>45</v>
      </c>
      <c r="N30" s="43">
        <f t="shared" si="12"/>
        <v>45</v>
      </c>
      <c r="O30" s="43">
        <f t="shared" si="9"/>
        <v>45</v>
      </c>
      <c r="P30" s="43">
        <f t="shared" si="15"/>
        <v>45</v>
      </c>
      <c r="Q30" s="43">
        <f t="shared" si="15"/>
        <v>45</v>
      </c>
      <c r="R30" s="43">
        <f t="shared" si="5"/>
        <v>45</v>
      </c>
      <c r="S30" s="43">
        <f t="shared" si="7"/>
        <v>45</v>
      </c>
      <c r="T30" s="43">
        <f t="shared" si="7"/>
        <v>45</v>
      </c>
      <c r="U30" s="43">
        <f t="shared" si="6"/>
        <v>45</v>
      </c>
      <c r="V30" s="43">
        <f t="shared" si="3"/>
        <v>45</v>
      </c>
      <c r="W30" s="43">
        <f t="shared" si="3"/>
        <v>45</v>
      </c>
    </row>
    <row r="31" spans="1:23" x14ac:dyDescent="0.3">
      <c r="A31" s="14" t="s">
        <v>431</v>
      </c>
      <c r="B31" s="19">
        <f>'02_Giả định'!$B$6</f>
        <v>4.5999999999999999E-2</v>
      </c>
      <c r="C31" s="19">
        <f>'02_Giả định'!$B$6</f>
        <v>4.5999999999999999E-2</v>
      </c>
      <c r="D31" s="19">
        <f>'02_Giả định'!$B$6</f>
        <v>4.5999999999999999E-2</v>
      </c>
      <c r="H31" s="57">
        <f t="shared" si="14"/>
        <v>4.5999999999999999E-2</v>
      </c>
      <c r="I31" s="57">
        <f t="shared" si="16"/>
        <v>4.5999999999999999E-2</v>
      </c>
      <c r="J31" s="57">
        <f t="shared" si="17"/>
        <v>4.5999999999999999E-2</v>
      </c>
      <c r="K31" s="57">
        <f t="shared" si="11"/>
        <v>4.5999999999999999E-2</v>
      </c>
      <c r="L31" s="57">
        <f t="shared" si="13"/>
        <v>4.5999999999999999E-2</v>
      </c>
      <c r="M31" s="57">
        <f t="shared" si="12"/>
        <v>4.5999999999999999E-2</v>
      </c>
      <c r="N31" s="57">
        <f t="shared" si="12"/>
        <v>4.5999999999999999E-2</v>
      </c>
      <c r="O31" s="57">
        <f t="shared" si="9"/>
        <v>4.5999999999999999E-2</v>
      </c>
      <c r="P31" s="57">
        <f t="shared" si="15"/>
        <v>4.5999999999999999E-2</v>
      </c>
      <c r="Q31" s="57">
        <f t="shared" si="15"/>
        <v>4.5999999999999999E-2</v>
      </c>
      <c r="R31" s="57">
        <f t="shared" si="5"/>
        <v>4.5999999999999999E-2</v>
      </c>
      <c r="S31" s="57">
        <f t="shared" si="7"/>
        <v>4.5999999999999999E-2</v>
      </c>
      <c r="T31" s="57">
        <f t="shared" si="7"/>
        <v>4.5999999999999999E-2</v>
      </c>
      <c r="U31" s="57">
        <f t="shared" si="6"/>
        <v>4.5999999999999999E-2</v>
      </c>
      <c r="V31" s="57">
        <f t="shared" si="3"/>
        <v>4.5999999999999999E-2</v>
      </c>
      <c r="W31" s="57">
        <f t="shared" si="3"/>
        <v>4.5999999999999999E-2</v>
      </c>
    </row>
    <row r="32" spans="1:23" x14ac:dyDescent="0.3">
      <c r="A32" s="14" t="s">
        <v>432</v>
      </c>
      <c r="B32" s="19">
        <f>'02_Giả định'!$B$7</f>
        <v>9.1999999999999998E-2</v>
      </c>
      <c r="C32" s="19">
        <f>'02_Giả định'!$B$7</f>
        <v>9.1999999999999998E-2</v>
      </c>
      <c r="D32" s="19">
        <f>'02_Giả định'!$B$7</f>
        <v>9.1999999999999998E-2</v>
      </c>
      <c r="H32" s="57">
        <f t="shared" si="14"/>
        <v>9.1999999999999998E-2</v>
      </c>
      <c r="I32" s="57">
        <f t="shared" si="16"/>
        <v>9.1999999999999998E-2</v>
      </c>
      <c r="J32" s="57">
        <f t="shared" si="17"/>
        <v>9.1999999999999998E-2</v>
      </c>
      <c r="K32" s="57">
        <f t="shared" si="11"/>
        <v>9.1999999999999998E-2</v>
      </c>
      <c r="L32" s="57">
        <f t="shared" si="13"/>
        <v>9.1999999999999998E-2</v>
      </c>
      <c r="M32" s="45">
        <v>0.1</v>
      </c>
      <c r="N32" s="57">
        <f>$C32</f>
        <v>9.1999999999999998E-2</v>
      </c>
      <c r="O32" s="57">
        <f t="shared" si="9"/>
        <v>9.1999999999999998E-2</v>
      </c>
      <c r="P32" s="57">
        <f t="shared" si="15"/>
        <v>9.1999999999999998E-2</v>
      </c>
      <c r="Q32" s="57">
        <f t="shared" si="15"/>
        <v>9.1999999999999998E-2</v>
      </c>
      <c r="R32" s="57">
        <f t="shared" si="5"/>
        <v>9.1999999999999998E-2</v>
      </c>
      <c r="S32" s="57">
        <f t="shared" si="7"/>
        <v>9.1999999999999998E-2</v>
      </c>
      <c r="T32" s="57">
        <f t="shared" si="7"/>
        <v>9.1999999999999998E-2</v>
      </c>
      <c r="U32" s="57">
        <f t="shared" si="6"/>
        <v>9.1999999999999998E-2</v>
      </c>
      <c r="V32" s="57">
        <f t="shared" si="3"/>
        <v>9.1999999999999998E-2</v>
      </c>
      <c r="W32" s="57">
        <f t="shared" si="3"/>
        <v>9.1999999999999998E-2</v>
      </c>
    </row>
    <row r="33" spans="1:23" x14ac:dyDescent="0.3">
      <c r="A33" s="14" t="s">
        <v>433</v>
      </c>
      <c r="B33" s="64">
        <f>'02_Giả định'!$B$8</f>
        <v>0.72</v>
      </c>
      <c r="C33" s="64">
        <f>'02_Giả định'!$B$8</f>
        <v>0.72</v>
      </c>
      <c r="D33" s="64">
        <f>'02_Giả định'!$B$8</f>
        <v>0.72</v>
      </c>
      <c r="H33" s="65">
        <f t="shared" si="14"/>
        <v>0.72</v>
      </c>
      <c r="I33" s="65">
        <f t="shared" si="16"/>
        <v>0.72</v>
      </c>
      <c r="J33" s="65">
        <f t="shared" si="17"/>
        <v>0.72</v>
      </c>
      <c r="K33" s="65">
        <f t="shared" si="11"/>
        <v>0.72</v>
      </c>
      <c r="L33" s="65">
        <f t="shared" si="13"/>
        <v>0.72</v>
      </c>
      <c r="M33" s="65">
        <f t="shared" ref="M33:M43" si="18">$C33</f>
        <v>0.72</v>
      </c>
      <c r="N33" s="47">
        <v>0.85</v>
      </c>
      <c r="O33" s="65">
        <f t="shared" si="9"/>
        <v>0.72</v>
      </c>
      <c r="P33" s="65">
        <f t="shared" si="15"/>
        <v>0.72</v>
      </c>
      <c r="Q33" s="65">
        <f t="shared" si="15"/>
        <v>0.72</v>
      </c>
      <c r="R33" s="65">
        <f t="shared" si="5"/>
        <v>0.72</v>
      </c>
      <c r="S33" s="65">
        <f t="shared" si="7"/>
        <v>0.72</v>
      </c>
      <c r="T33" s="65">
        <f t="shared" si="7"/>
        <v>0.72</v>
      </c>
      <c r="U33" s="65">
        <f t="shared" si="6"/>
        <v>0.72</v>
      </c>
      <c r="V33" s="47">
        <v>0.65</v>
      </c>
      <c r="W33" s="65">
        <f t="shared" si="6"/>
        <v>0.72</v>
      </c>
    </row>
    <row r="34" spans="1:23" x14ac:dyDescent="0.3">
      <c r="A34" s="14" t="s">
        <v>434</v>
      </c>
      <c r="B34" s="64">
        <f>'02_Giả định'!$B$9</f>
        <v>0.85</v>
      </c>
      <c r="C34" s="64">
        <f>'02_Giả định'!$B$9</f>
        <v>0.85</v>
      </c>
      <c r="D34" s="64">
        <f>'02_Giả định'!$B$9</f>
        <v>0.85</v>
      </c>
      <c r="H34" s="65">
        <f t="shared" si="14"/>
        <v>0.85</v>
      </c>
      <c r="I34" s="65">
        <f t="shared" si="16"/>
        <v>0.85</v>
      </c>
      <c r="J34" s="65">
        <f t="shared" si="17"/>
        <v>0.85</v>
      </c>
      <c r="K34" s="65">
        <f t="shared" si="11"/>
        <v>0.85</v>
      </c>
      <c r="L34" s="65">
        <f t="shared" si="13"/>
        <v>0.85</v>
      </c>
      <c r="M34" s="65">
        <f t="shared" si="18"/>
        <v>0.85</v>
      </c>
      <c r="N34" s="65">
        <f t="shared" ref="N34:N43" si="19">$C34</f>
        <v>0.85</v>
      </c>
      <c r="O34" s="65">
        <f t="shared" si="9"/>
        <v>0.85</v>
      </c>
      <c r="P34" s="65">
        <f t="shared" si="15"/>
        <v>0.85</v>
      </c>
      <c r="Q34" s="65">
        <f t="shared" si="15"/>
        <v>0.85</v>
      </c>
      <c r="R34" s="65">
        <f t="shared" si="5"/>
        <v>0.85</v>
      </c>
      <c r="S34" s="65">
        <f t="shared" si="7"/>
        <v>0.85</v>
      </c>
      <c r="T34" s="65">
        <f t="shared" si="7"/>
        <v>0.85</v>
      </c>
      <c r="U34" s="65">
        <f t="shared" si="6"/>
        <v>0.85</v>
      </c>
      <c r="V34" s="65">
        <f t="shared" ref="V34:W43" si="20">$C34</f>
        <v>0.85</v>
      </c>
      <c r="W34" s="65">
        <f t="shared" si="20"/>
        <v>0.85</v>
      </c>
    </row>
    <row r="35" spans="1:23" x14ac:dyDescent="0.3">
      <c r="A35" s="14" t="s">
        <v>435</v>
      </c>
      <c r="B35" s="19">
        <f>'02_Giả định'!$B$12</f>
        <v>0.03</v>
      </c>
      <c r="C35" s="19">
        <f>'02_Giả định'!$B$12</f>
        <v>0.03</v>
      </c>
      <c r="D35" s="19">
        <f>'02_Giả định'!$B$12</f>
        <v>0.03</v>
      </c>
      <c r="H35" s="57">
        <f t="shared" si="14"/>
        <v>0.03</v>
      </c>
      <c r="I35" s="57">
        <f t="shared" si="16"/>
        <v>0.03</v>
      </c>
      <c r="J35" s="57">
        <f t="shared" si="17"/>
        <v>0.03</v>
      </c>
      <c r="K35" s="57">
        <f t="shared" si="11"/>
        <v>0.03</v>
      </c>
      <c r="L35" s="57">
        <f t="shared" si="13"/>
        <v>0.03</v>
      </c>
      <c r="M35" s="57">
        <f t="shared" si="18"/>
        <v>0.03</v>
      </c>
      <c r="N35" s="57">
        <f t="shared" si="19"/>
        <v>0.03</v>
      </c>
      <c r="O35" s="57">
        <f t="shared" si="9"/>
        <v>0.03</v>
      </c>
      <c r="P35" s="57">
        <f t="shared" si="15"/>
        <v>0.03</v>
      </c>
      <c r="Q35" s="57">
        <f t="shared" si="15"/>
        <v>0.03</v>
      </c>
      <c r="R35" s="57">
        <f t="shared" si="5"/>
        <v>0.03</v>
      </c>
      <c r="S35" s="57">
        <f t="shared" si="7"/>
        <v>0.03</v>
      </c>
      <c r="T35" s="57">
        <f t="shared" si="7"/>
        <v>0.03</v>
      </c>
      <c r="U35" s="57">
        <f t="shared" si="6"/>
        <v>0.03</v>
      </c>
      <c r="V35" s="57">
        <f t="shared" si="20"/>
        <v>0.03</v>
      </c>
      <c r="W35" s="57">
        <f t="shared" si="20"/>
        <v>0.03</v>
      </c>
    </row>
    <row r="36" spans="1:23" x14ac:dyDescent="0.3">
      <c r="A36" s="14" t="s">
        <v>436</v>
      </c>
      <c r="B36" s="16">
        <f>'02_Giả định'!$B$13</f>
        <v>0.1</v>
      </c>
      <c r="C36" s="16">
        <f>'02_Giả định'!$B$13</f>
        <v>0.1</v>
      </c>
      <c r="D36" s="16">
        <f>'02_Giả định'!$B$13</f>
        <v>0.1</v>
      </c>
      <c r="H36" s="60">
        <f t="shared" si="14"/>
        <v>0.1</v>
      </c>
      <c r="I36" s="60">
        <f t="shared" si="16"/>
        <v>0.1</v>
      </c>
      <c r="J36" s="60">
        <f t="shared" si="17"/>
        <v>0.1</v>
      </c>
      <c r="K36" s="60">
        <f t="shared" si="11"/>
        <v>0.1</v>
      </c>
      <c r="L36" s="60">
        <f t="shared" si="13"/>
        <v>0.1</v>
      </c>
      <c r="M36" s="60">
        <f t="shared" si="18"/>
        <v>0.1</v>
      </c>
      <c r="N36" s="60">
        <f t="shared" si="19"/>
        <v>0.1</v>
      </c>
      <c r="O36" s="60">
        <f t="shared" si="9"/>
        <v>0.1</v>
      </c>
      <c r="P36" s="60">
        <f t="shared" si="15"/>
        <v>0.1</v>
      </c>
      <c r="Q36" s="60">
        <f t="shared" si="15"/>
        <v>0.1</v>
      </c>
      <c r="R36" s="60">
        <f t="shared" si="5"/>
        <v>0.1</v>
      </c>
      <c r="S36" s="60">
        <f t="shared" si="7"/>
        <v>0.1</v>
      </c>
      <c r="T36" s="60">
        <f t="shared" si="7"/>
        <v>0.1</v>
      </c>
      <c r="U36" s="60">
        <f t="shared" si="6"/>
        <v>0.1</v>
      </c>
      <c r="V36" s="60">
        <f t="shared" si="20"/>
        <v>0.1</v>
      </c>
      <c r="W36" s="60">
        <f t="shared" si="20"/>
        <v>0.1</v>
      </c>
    </row>
    <row r="37" spans="1:23" x14ac:dyDescent="0.3">
      <c r="A37" s="14" t="s">
        <v>308</v>
      </c>
      <c r="B37" s="16">
        <f>'02_Giả định'!$B$14</f>
        <v>0.2</v>
      </c>
      <c r="C37" s="16">
        <f>'02_Giả định'!$B$14</f>
        <v>0.2</v>
      </c>
      <c r="D37" s="16">
        <f>'02_Giả định'!$B$14</f>
        <v>0.2</v>
      </c>
      <c r="H37" s="60">
        <f t="shared" si="14"/>
        <v>0.2</v>
      </c>
      <c r="I37" s="60">
        <f t="shared" si="16"/>
        <v>0.2</v>
      </c>
      <c r="J37" s="60">
        <f t="shared" si="17"/>
        <v>0.2</v>
      </c>
      <c r="K37" s="60">
        <f t="shared" si="11"/>
        <v>0.2</v>
      </c>
      <c r="L37" s="60">
        <f t="shared" si="13"/>
        <v>0.2</v>
      </c>
      <c r="M37" s="60">
        <f t="shared" si="18"/>
        <v>0.2</v>
      </c>
      <c r="N37" s="60">
        <f t="shared" si="19"/>
        <v>0.2</v>
      </c>
      <c r="O37" s="60">
        <f t="shared" si="9"/>
        <v>0.2</v>
      </c>
      <c r="P37" s="60">
        <f t="shared" si="15"/>
        <v>0.2</v>
      </c>
      <c r="Q37" s="60">
        <f t="shared" si="15"/>
        <v>0.2</v>
      </c>
      <c r="R37" s="60">
        <f t="shared" si="5"/>
        <v>0.2</v>
      </c>
      <c r="S37" s="60">
        <f t="shared" si="7"/>
        <v>0.2</v>
      </c>
      <c r="T37" s="60">
        <f t="shared" si="7"/>
        <v>0.2</v>
      </c>
      <c r="U37" s="60">
        <f t="shared" si="6"/>
        <v>0.2</v>
      </c>
      <c r="V37" s="60">
        <f t="shared" si="20"/>
        <v>0.2</v>
      </c>
      <c r="W37" s="60">
        <f t="shared" si="20"/>
        <v>0.2</v>
      </c>
    </row>
    <row r="38" spans="1:23" x14ac:dyDescent="0.3">
      <c r="A38" s="14" t="s">
        <v>437</v>
      </c>
      <c r="B38" s="19">
        <f>'02_Giả định'!$B$15</f>
        <v>7.4999999999999997E-2</v>
      </c>
      <c r="C38" s="19">
        <f>'02_Giả định'!$B$15</f>
        <v>7.4999999999999997E-2</v>
      </c>
      <c r="D38" s="19">
        <f>'02_Giả định'!$B$15</f>
        <v>7.4999999999999997E-2</v>
      </c>
      <c r="H38" s="57">
        <f t="shared" si="14"/>
        <v>7.4999999999999997E-2</v>
      </c>
      <c r="I38" s="57">
        <f t="shared" si="16"/>
        <v>7.4999999999999997E-2</v>
      </c>
      <c r="J38" s="57">
        <f t="shared" si="17"/>
        <v>7.4999999999999997E-2</v>
      </c>
      <c r="K38" s="57">
        <f t="shared" si="11"/>
        <v>7.4999999999999997E-2</v>
      </c>
      <c r="L38" s="57">
        <f t="shared" si="13"/>
        <v>7.4999999999999997E-2</v>
      </c>
      <c r="M38" s="57">
        <f t="shared" si="18"/>
        <v>7.4999999999999997E-2</v>
      </c>
      <c r="N38" s="57">
        <f t="shared" si="19"/>
        <v>7.4999999999999997E-2</v>
      </c>
      <c r="O38" s="57">
        <f t="shared" si="9"/>
        <v>7.4999999999999997E-2</v>
      </c>
      <c r="P38" s="57">
        <f t="shared" si="15"/>
        <v>7.4999999999999997E-2</v>
      </c>
      <c r="Q38" s="57">
        <f t="shared" si="15"/>
        <v>7.4999999999999997E-2</v>
      </c>
      <c r="R38" s="57">
        <f t="shared" si="5"/>
        <v>7.4999999999999997E-2</v>
      </c>
      <c r="S38" s="57">
        <f t="shared" si="7"/>
        <v>7.4999999999999997E-2</v>
      </c>
      <c r="T38" s="57">
        <f t="shared" si="7"/>
        <v>7.4999999999999997E-2</v>
      </c>
      <c r="U38" s="57">
        <f t="shared" si="6"/>
        <v>7.4999999999999997E-2</v>
      </c>
      <c r="V38" s="57">
        <f t="shared" si="20"/>
        <v>7.4999999999999997E-2</v>
      </c>
      <c r="W38" s="57">
        <f t="shared" si="20"/>
        <v>7.4999999999999997E-2</v>
      </c>
    </row>
    <row r="39" spans="1:23" x14ac:dyDescent="0.3">
      <c r="A39" s="14" t="s">
        <v>438</v>
      </c>
      <c r="B39" s="15">
        <f>'02_Giả định'!$B$16</f>
        <v>1000</v>
      </c>
      <c r="C39" s="15">
        <f>'02_Giả định'!$B$16</f>
        <v>1000</v>
      </c>
      <c r="D39" s="15">
        <f>'02_Giả định'!$B$16</f>
        <v>1000</v>
      </c>
      <c r="H39" s="29">
        <f t="shared" si="14"/>
        <v>1000</v>
      </c>
      <c r="I39" s="29">
        <f t="shared" si="16"/>
        <v>1000</v>
      </c>
      <c r="J39" s="29">
        <f t="shared" si="17"/>
        <v>1000</v>
      </c>
      <c r="K39" s="29">
        <f t="shared" si="11"/>
        <v>1000</v>
      </c>
      <c r="L39" s="29">
        <f t="shared" si="13"/>
        <v>1000</v>
      </c>
      <c r="M39" s="29">
        <f t="shared" si="18"/>
        <v>1000</v>
      </c>
      <c r="N39" s="29">
        <f t="shared" si="19"/>
        <v>1000</v>
      </c>
      <c r="O39" s="29">
        <f t="shared" si="9"/>
        <v>1000</v>
      </c>
      <c r="P39" s="29">
        <f t="shared" si="15"/>
        <v>1000</v>
      </c>
      <c r="Q39" s="29">
        <f t="shared" si="15"/>
        <v>1000</v>
      </c>
      <c r="R39" s="29">
        <f t="shared" si="5"/>
        <v>1000</v>
      </c>
      <c r="S39" s="29">
        <f t="shared" si="7"/>
        <v>1000</v>
      </c>
      <c r="T39" s="29">
        <f t="shared" si="7"/>
        <v>1000</v>
      </c>
      <c r="U39" s="29">
        <f t="shared" si="6"/>
        <v>1000</v>
      </c>
      <c r="V39" s="29">
        <f t="shared" si="20"/>
        <v>1000</v>
      </c>
      <c r="W39" s="29">
        <f t="shared" si="20"/>
        <v>1000</v>
      </c>
    </row>
    <row r="40" spans="1:23" x14ac:dyDescent="0.3">
      <c r="A40" s="14" t="s">
        <v>439</v>
      </c>
      <c r="B40" s="19">
        <f>'02_Giả định'!$B$38</f>
        <v>0.1</v>
      </c>
      <c r="C40" s="19">
        <f>'02_Giả định'!$B$38</f>
        <v>0.1</v>
      </c>
      <c r="D40" s="19">
        <f>'02_Giả định'!$B$38</f>
        <v>0.1</v>
      </c>
      <c r="H40" s="57">
        <f t="shared" si="14"/>
        <v>0.1</v>
      </c>
      <c r="I40" s="57">
        <f t="shared" si="16"/>
        <v>0.1</v>
      </c>
      <c r="J40" s="57">
        <f t="shared" si="17"/>
        <v>0.1</v>
      </c>
      <c r="K40" s="57">
        <f t="shared" si="11"/>
        <v>0.1</v>
      </c>
      <c r="L40" s="57">
        <f t="shared" si="13"/>
        <v>0.1</v>
      </c>
      <c r="M40" s="57">
        <f t="shared" si="18"/>
        <v>0.1</v>
      </c>
      <c r="N40" s="57">
        <f t="shared" si="19"/>
        <v>0.1</v>
      </c>
      <c r="O40" s="57">
        <f t="shared" si="9"/>
        <v>0.1</v>
      </c>
      <c r="P40" s="57">
        <f t="shared" si="15"/>
        <v>0.1</v>
      </c>
      <c r="Q40" s="57">
        <f t="shared" si="15"/>
        <v>0.1</v>
      </c>
      <c r="R40" s="57">
        <f t="shared" si="5"/>
        <v>0.1</v>
      </c>
      <c r="S40" s="57">
        <f t="shared" si="7"/>
        <v>0.1</v>
      </c>
      <c r="T40" s="57">
        <f t="shared" si="7"/>
        <v>0.1</v>
      </c>
      <c r="U40" s="57">
        <f t="shared" si="6"/>
        <v>0.1</v>
      </c>
      <c r="V40" s="57">
        <f t="shared" si="20"/>
        <v>0.1</v>
      </c>
      <c r="W40" s="45">
        <v>0.05</v>
      </c>
    </row>
    <row r="41" spans="1:23" x14ac:dyDescent="0.3">
      <c r="A41" s="14" t="s">
        <v>440</v>
      </c>
      <c r="B41" s="19">
        <f>'02_Giả định'!$B$39</f>
        <v>0.34746325027295699</v>
      </c>
      <c r="C41" s="19">
        <f>'02_Giả định'!$B$39</f>
        <v>0.34746325027295699</v>
      </c>
      <c r="D41" s="19">
        <f>'02_Giả định'!$B$39</f>
        <v>0.34746325027295699</v>
      </c>
      <c r="H41" s="57">
        <f t="shared" si="14"/>
        <v>0.34746325027295699</v>
      </c>
      <c r="I41" s="57">
        <f t="shared" si="16"/>
        <v>0.34746325027295699</v>
      </c>
      <c r="J41" s="57">
        <f t="shared" si="17"/>
        <v>0.34746325027295699</v>
      </c>
      <c r="K41" s="57">
        <f t="shared" si="11"/>
        <v>0.34746325027295699</v>
      </c>
      <c r="L41" s="57">
        <f t="shared" si="13"/>
        <v>0.34746325027295699</v>
      </c>
      <c r="M41" s="57">
        <f t="shared" si="18"/>
        <v>0.34746325027295699</v>
      </c>
      <c r="N41" s="57">
        <f t="shared" si="19"/>
        <v>0.34746325027295699</v>
      </c>
      <c r="O41" s="57">
        <f t="shared" si="9"/>
        <v>0.34746325027295699</v>
      </c>
      <c r="P41" s="57">
        <f t="shared" si="15"/>
        <v>0.34746325027295699</v>
      </c>
      <c r="Q41" s="57">
        <f t="shared" si="15"/>
        <v>0.34746325027295699</v>
      </c>
      <c r="R41" s="57">
        <f t="shared" si="5"/>
        <v>0.34746325027295699</v>
      </c>
      <c r="S41" s="57">
        <f t="shared" si="7"/>
        <v>0.34746325027295699</v>
      </c>
      <c r="T41" s="57">
        <f t="shared" si="7"/>
        <v>0.34746325027295699</v>
      </c>
      <c r="U41" s="57">
        <f t="shared" si="6"/>
        <v>0.34746325027295699</v>
      </c>
      <c r="V41" s="57">
        <f t="shared" si="20"/>
        <v>0.34746325027295699</v>
      </c>
      <c r="W41" s="57">
        <f>('02_Giả định'!$B$32-W40*'02_Giả định'!$B$29)/'02_Giả định'!$B$31</f>
        <v>0.36131665922403255</v>
      </c>
    </row>
    <row r="42" spans="1:23" x14ac:dyDescent="0.3">
      <c r="A42" s="14" t="s">
        <v>441</v>
      </c>
      <c r="B42" s="27">
        <f>'02_Giả định'!$B$46</f>
        <v>39</v>
      </c>
      <c r="C42" s="27">
        <f>'02_Giả định'!$B$46</f>
        <v>39</v>
      </c>
      <c r="D42" s="27">
        <f>'02_Giả định'!$B$46</f>
        <v>39</v>
      </c>
      <c r="H42" s="43">
        <f t="shared" si="14"/>
        <v>39</v>
      </c>
      <c r="I42" s="43">
        <f t="shared" si="16"/>
        <v>39</v>
      </c>
      <c r="J42" s="43">
        <f t="shared" si="17"/>
        <v>39</v>
      </c>
      <c r="K42" s="43">
        <f t="shared" si="11"/>
        <v>39</v>
      </c>
      <c r="L42" s="43">
        <f t="shared" si="13"/>
        <v>39</v>
      </c>
      <c r="M42" s="43">
        <f t="shared" si="18"/>
        <v>39</v>
      </c>
      <c r="N42" s="43">
        <f t="shared" si="19"/>
        <v>39</v>
      </c>
      <c r="O42" s="43">
        <f t="shared" si="9"/>
        <v>39</v>
      </c>
      <c r="P42" s="43">
        <f t="shared" si="15"/>
        <v>39</v>
      </c>
      <c r="Q42" s="43">
        <f t="shared" si="15"/>
        <v>39</v>
      </c>
      <c r="R42" s="43">
        <f t="shared" si="5"/>
        <v>39</v>
      </c>
      <c r="S42" s="43">
        <f t="shared" si="7"/>
        <v>39</v>
      </c>
      <c r="T42" s="43">
        <f t="shared" si="7"/>
        <v>39</v>
      </c>
      <c r="U42" s="43">
        <f t="shared" si="6"/>
        <v>39</v>
      </c>
      <c r="V42" s="43">
        <f t="shared" si="20"/>
        <v>39</v>
      </c>
      <c r="W42" s="43">
        <f t="shared" si="20"/>
        <v>39</v>
      </c>
    </row>
    <row r="43" spans="1:23" x14ac:dyDescent="0.3">
      <c r="A43" s="14" t="s">
        <v>442</v>
      </c>
      <c r="B43" s="27">
        <f>'02_Giả định'!$B$47</f>
        <v>70.908000000000001</v>
      </c>
      <c r="C43" s="27">
        <f>'02_Giả định'!$B$47</f>
        <v>70.908000000000001</v>
      </c>
      <c r="D43" s="27">
        <f>'02_Giả định'!$B$47</f>
        <v>70.908000000000001</v>
      </c>
      <c r="H43" s="43">
        <f t="shared" si="14"/>
        <v>70.908000000000001</v>
      </c>
      <c r="I43" s="43">
        <f t="shared" si="16"/>
        <v>70.908000000000001</v>
      </c>
      <c r="J43" s="43">
        <f t="shared" si="17"/>
        <v>70.908000000000001</v>
      </c>
      <c r="K43" s="43">
        <f t="shared" si="11"/>
        <v>70.908000000000001</v>
      </c>
      <c r="L43" s="43">
        <f t="shared" si="13"/>
        <v>70.908000000000001</v>
      </c>
      <c r="M43" s="43">
        <f t="shared" si="18"/>
        <v>70.908000000000001</v>
      </c>
      <c r="N43" s="43">
        <f t="shared" si="19"/>
        <v>70.908000000000001</v>
      </c>
      <c r="O43" s="43">
        <f t="shared" si="9"/>
        <v>70.908000000000001</v>
      </c>
      <c r="P43" s="43">
        <f t="shared" si="15"/>
        <v>70.908000000000001</v>
      </c>
      <c r="Q43" s="43">
        <f t="shared" si="15"/>
        <v>70.908000000000001</v>
      </c>
      <c r="R43" s="43">
        <f t="shared" si="5"/>
        <v>70.908000000000001</v>
      </c>
      <c r="S43" s="43">
        <f t="shared" si="7"/>
        <v>70.908000000000001</v>
      </c>
      <c r="T43" s="43">
        <f t="shared" si="7"/>
        <v>70.908000000000001</v>
      </c>
      <c r="U43" s="43">
        <f t="shared" si="6"/>
        <v>70.908000000000001</v>
      </c>
      <c r="V43" s="43">
        <f t="shared" si="20"/>
        <v>70.908000000000001</v>
      </c>
      <c r="W43" s="43">
        <f t="shared" si="20"/>
        <v>70.908000000000001</v>
      </c>
    </row>
    <row r="44" spans="1:23" x14ac:dyDescent="0.3">
      <c r="A44" s="9" t="s">
        <v>443</v>
      </c>
      <c r="B44" s="66">
        <f>B31+B33*B32</f>
        <v>0.11223999999999999</v>
      </c>
      <c r="C44" s="66">
        <f>C31+C33*C32</f>
        <v>0.11223999999999999</v>
      </c>
      <c r="D44" s="66">
        <f>D31+D33*D32</f>
        <v>0.11223999999999999</v>
      </c>
      <c r="H44" s="66">
        <f t="shared" ref="H44:V44" si="21">H31+H33*H32</f>
        <v>0.11223999999999999</v>
      </c>
      <c r="I44" s="66">
        <f t="shared" si="21"/>
        <v>0.11223999999999999</v>
      </c>
      <c r="J44" s="66">
        <f t="shared" si="21"/>
        <v>0.11223999999999999</v>
      </c>
      <c r="K44" s="66">
        <f t="shared" si="21"/>
        <v>0.11223999999999999</v>
      </c>
      <c r="L44" s="66">
        <f t="shared" si="21"/>
        <v>0.11223999999999999</v>
      </c>
      <c r="M44" s="66">
        <f t="shared" si="21"/>
        <v>0.11799999999999999</v>
      </c>
      <c r="N44" s="66">
        <f t="shared" si="21"/>
        <v>0.12419999999999999</v>
      </c>
      <c r="O44" s="66">
        <f t="shared" si="21"/>
        <v>0.11223999999999999</v>
      </c>
      <c r="P44" s="66">
        <f t="shared" si="21"/>
        <v>0.11223999999999999</v>
      </c>
      <c r="Q44" s="66">
        <f t="shared" si="21"/>
        <v>0.11223999999999999</v>
      </c>
      <c r="R44" s="66">
        <f t="shared" si="21"/>
        <v>0.11223999999999999</v>
      </c>
      <c r="S44" s="66">
        <f t="shared" si="21"/>
        <v>0.11223999999999999</v>
      </c>
      <c r="T44" s="66">
        <f t="shared" si="21"/>
        <v>0.11223999999999999</v>
      </c>
      <c r="U44" s="66">
        <f t="shared" si="21"/>
        <v>0.11223999999999999</v>
      </c>
      <c r="V44" s="66">
        <f t="shared" si="21"/>
        <v>0.10580000000000001</v>
      </c>
      <c r="W44" s="66">
        <f t="shared" ref="W44" si="22">W31+W33*W32</f>
        <v>0.11223999999999999</v>
      </c>
    </row>
    <row r="45" spans="1:23" x14ac:dyDescent="0.3">
      <c r="A45" s="9" t="s">
        <v>302</v>
      </c>
      <c r="B45" s="66">
        <f>B31+B34*B32</f>
        <v>0.12419999999999999</v>
      </c>
      <c r="C45" s="66">
        <f>C31+C34*C32</f>
        <v>0.12419999999999999</v>
      </c>
      <c r="D45" s="66">
        <f>D31+D34*D32</f>
        <v>0.12419999999999999</v>
      </c>
      <c r="H45" s="66">
        <f t="shared" ref="H45:V45" si="23">H31+H34*H32</f>
        <v>0.12419999999999999</v>
      </c>
      <c r="I45" s="66">
        <f t="shared" si="23"/>
        <v>0.12419999999999999</v>
      </c>
      <c r="J45" s="66">
        <f t="shared" si="23"/>
        <v>0.12419999999999999</v>
      </c>
      <c r="K45" s="66">
        <f t="shared" si="23"/>
        <v>0.12419999999999999</v>
      </c>
      <c r="L45" s="66">
        <f t="shared" si="23"/>
        <v>0.12419999999999999</v>
      </c>
      <c r="M45" s="66">
        <f t="shared" si="23"/>
        <v>0.13100000000000001</v>
      </c>
      <c r="N45" s="66">
        <f t="shared" si="23"/>
        <v>0.12419999999999999</v>
      </c>
      <c r="O45" s="66">
        <f t="shared" si="23"/>
        <v>0.12419999999999999</v>
      </c>
      <c r="P45" s="66">
        <f t="shared" si="23"/>
        <v>0.12419999999999999</v>
      </c>
      <c r="Q45" s="66">
        <f t="shared" si="23"/>
        <v>0.12419999999999999</v>
      </c>
      <c r="R45" s="66">
        <f t="shared" si="23"/>
        <v>0.12419999999999999</v>
      </c>
      <c r="S45" s="66">
        <f t="shared" si="23"/>
        <v>0.12419999999999999</v>
      </c>
      <c r="T45" s="66">
        <f t="shared" si="23"/>
        <v>0.12419999999999999</v>
      </c>
      <c r="U45" s="66">
        <f t="shared" si="23"/>
        <v>0.12419999999999999</v>
      </c>
      <c r="V45" s="66">
        <f t="shared" si="23"/>
        <v>0.12419999999999999</v>
      </c>
      <c r="W45" s="66">
        <f t="shared" ref="W45" si="24">W31+W34*W32</f>
        <v>0.12419999999999999</v>
      </c>
    </row>
    <row r="46" spans="1:23" x14ac:dyDescent="0.3">
      <c r="A46" s="14" t="s">
        <v>798</v>
      </c>
      <c r="B46" s="94">
        <f>'02_Giả định'!B67</f>
        <v>2.3E-2</v>
      </c>
      <c r="C46" s="94">
        <f>'02_Giả định'!C67</f>
        <v>2.5999999999999999E-2</v>
      </c>
      <c r="D46" s="94">
        <f>'02_Giả định'!D67</f>
        <v>2.8000000000000001E-2</v>
      </c>
      <c r="E46" s="91"/>
      <c r="F46" s="91"/>
      <c r="G46" s="91"/>
      <c r="H46" s="95">
        <f t="shared" ref="H46:W50" si="25">$C46</f>
        <v>2.5999999999999999E-2</v>
      </c>
      <c r="I46" s="95">
        <f t="shared" si="25"/>
        <v>2.5999999999999999E-2</v>
      </c>
      <c r="J46" s="95">
        <f t="shared" si="25"/>
        <v>2.5999999999999999E-2</v>
      </c>
      <c r="K46" s="95">
        <f t="shared" si="25"/>
        <v>2.5999999999999999E-2</v>
      </c>
      <c r="L46" s="95">
        <f t="shared" si="25"/>
        <v>2.5999999999999999E-2</v>
      </c>
      <c r="M46" s="95">
        <f t="shared" si="25"/>
        <v>2.5999999999999999E-2</v>
      </c>
      <c r="N46" s="95">
        <f t="shared" si="25"/>
        <v>2.5999999999999999E-2</v>
      </c>
      <c r="O46" s="95">
        <f t="shared" si="25"/>
        <v>2.5999999999999999E-2</v>
      </c>
      <c r="P46" s="95">
        <f t="shared" si="25"/>
        <v>2.5999999999999999E-2</v>
      </c>
      <c r="Q46" s="95">
        <f t="shared" si="25"/>
        <v>2.5999999999999999E-2</v>
      </c>
      <c r="R46" s="95">
        <f t="shared" si="25"/>
        <v>2.5999999999999999E-2</v>
      </c>
      <c r="S46" s="95">
        <f t="shared" si="25"/>
        <v>2.5999999999999999E-2</v>
      </c>
      <c r="T46" s="95">
        <f t="shared" si="25"/>
        <v>2.5999999999999999E-2</v>
      </c>
      <c r="U46" s="95">
        <f t="shared" si="25"/>
        <v>2.5999999999999999E-2</v>
      </c>
      <c r="V46" s="95">
        <f t="shared" si="25"/>
        <v>2.5999999999999999E-2</v>
      </c>
      <c r="W46" s="95">
        <f t="shared" si="25"/>
        <v>2.5999999999999999E-2</v>
      </c>
    </row>
    <row r="47" spans="1:23" x14ac:dyDescent="0.3">
      <c r="A47" s="14" t="s">
        <v>782</v>
      </c>
      <c r="B47" s="94">
        <f>'02_Giả định'!B68</f>
        <v>2.3E-2</v>
      </c>
      <c r="C47" s="94">
        <f>'02_Giả định'!C68</f>
        <v>2.3E-2</v>
      </c>
      <c r="D47" s="94">
        <f>'02_Giả định'!D68</f>
        <v>2.3E-2</v>
      </c>
      <c r="E47" s="91"/>
      <c r="F47" s="91"/>
      <c r="G47" s="91"/>
      <c r="H47" s="95">
        <f t="shared" si="25"/>
        <v>2.3E-2</v>
      </c>
      <c r="I47" s="95">
        <f t="shared" si="25"/>
        <v>2.3E-2</v>
      </c>
      <c r="J47" s="95">
        <f t="shared" si="25"/>
        <v>2.3E-2</v>
      </c>
      <c r="K47" s="95">
        <f t="shared" si="25"/>
        <v>2.3E-2</v>
      </c>
      <c r="L47" s="95">
        <f t="shared" si="25"/>
        <v>2.3E-2</v>
      </c>
      <c r="M47" s="95">
        <f t="shared" si="25"/>
        <v>2.3E-2</v>
      </c>
      <c r="N47" s="95">
        <f t="shared" si="25"/>
        <v>2.3E-2</v>
      </c>
      <c r="O47" s="95">
        <f t="shared" si="25"/>
        <v>2.3E-2</v>
      </c>
      <c r="P47" s="95">
        <f t="shared" si="25"/>
        <v>2.3E-2</v>
      </c>
      <c r="Q47" s="95">
        <f t="shared" si="25"/>
        <v>2.3E-2</v>
      </c>
      <c r="R47" s="95">
        <f t="shared" si="25"/>
        <v>2.3E-2</v>
      </c>
      <c r="S47" s="95">
        <f t="shared" si="25"/>
        <v>2.3E-2</v>
      </c>
      <c r="T47" s="95">
        <f t="shared" si="25"/>
        <v>2.3E-2</v>
      </c>
      <c r="U47" s="95">
        <f t="shared" si="25"/>
        <v>2.3E-2</v>
      </c>
      <c r="V47" s="95">
        <f t="shared" si="25"/>
        <v>2.3E-2</v>
      </c>
      <c r="W47" s="95">
        <f t="shared" si="25"/>
        <v>2.3E-2</v>
      </c>
    </row>
    <row r="48" spans="1:23" x14ac:dyDescent="0.3">
      <c r="A48" s="14" t="s">
        <v>784</v>
      </c>
      <c r="B48" s="94">
        <f>'02_Giả định'!B69</f>
        <v>0.04</v>
      </c>
      <c r="C48" s="94">
        <f>'02_Giả định'!C69</f>
        <v>0.04</v>
      </c>
      <c r="D48" s="94">
        <f>'02_Giả định'!D69</f>
        <v>0.04</v>
      </c>
      <c r="E48" s="91"/>
      <c r="F48" s="91"/>
      <c r="G48" s="91"/>
      <c r="H48" s="95">
        <f t="shared" si="25"/>
        <v>0.04</v>
      </c>
      <c r="I48" s="95">
        <f t="shared" si="25"/>
        <v>0.04</v>
      </c>
      <c r="J48" s="95">
        <f t="shared" si="25"/>
        <v>0.04</v>
      </c>
      <c r="K48" s="95">
        <f t="shared" si="25"/>
        <v>0.04</v>
      </c>
      <c r="L48" s="95">
        <f t="shared" si="25"/>
        <v>0.04</v>
      </c>
      <c r="M48" s="95">
        <f t="shared" si="25"/>
        <v>0.04</v>
      </c>
      <c r="N48" s="95">
        <f t="shared" si="25"/>
        <v>0.04</v>
      </c>
      <c r="O48" s="95">
        <f t="shared" si="25"/>
        <v>0.04</v>
      </c>
      <c r="P48" s="95">
        <f t="shared" si="25"/>
        <v>0.04</v>
      </c>
      <c r="Q48" s="95">
        <f t="shared" si="25"/>
        <v>0.04</v>
      </c>
      <c r="R48" s="95">
        <f t="shared" si="25"/>
        <v>0.04</v>
      </c>
      <c r="S48" s="95">
        <f t="shared" si="25"/>
        <v>0.04</v>
      </c>
      <c r="T48" s="95">
        <f t="shared" si="25"/>
        <v>0.04</v>
      </c>
      <c r="U48" s="95">
        <f t="shared" si="25"/>
        <v>0.04</v>
      </c>
      <c r="V48" s="95">
        <f t="shared" si="25"/>
        <v>0.04</v>
      </c>
      <c r="W48" s="95">
        <f t="shared" si="25"/>
        <v>0.04</v>
      </c>
    </row>
    <row r="49" spans="1:23" x14ac:dyDescent="0.3">
      <c r="A49" s="14" t="s">
        <v>799</v>
      </c>
      <c r="B49" s="96">
        <f>'02_Giả định'!B70</f>
        <v>0</v>
      </c>
      <c r="C49" s="96">
        <f>'02_Giả định'!C70</f>
        <v>1</v>
      </c>
      <c r="D49" s="96">
        <f>'02_Giả định'!D70</f>
        <v>1</v>
      </c>
      <c r="E49" s="97"/>
      <c r="F49" s="97"/>
      <c r="G49" s="97"/>
      <c r="H49" s="98">
        <f t="shared" si="25"/>
        <v>1</v>
      </c>
      <c r="I49" s="98">
        <f t="shared" si="25"/>
        <v>1</v>
      </c>
      <c r="J49" s="98">
        <f t="shared" si="25"/>
        <v>1</v>
      </c>
      <c r="K49" s="98">
        <f t="shared" si="25"/>
        <v>1</v>
      </c>
      <c r="L49" s="98">
        <f t="shared" si="25"/>
        <v>1</v>
      </c>
      <c r="M49" s="98">
        <f t="shared" si="25"/>
        <v>1</v>
      </c>
      <c r="N49" s="98">
        <f t="shared" si="25"/>
        <v>1</v>
      </c>
      <c r="O49" s="98">
        <f t="shared" si="25"/>
        <v>1</v>
      </c>
      <c r="P49" s="98">
        <f t="shared" si="25"/>
        <v>1</v>
      </c>
      <c r="Q49" s="98">
        <f t="shared" si="25"/>
        <v>1</v>
      </c>
      <c r="R49" s="98">
        <f t="shared" si="25"/>
        <v>1</v>
      </c>
      <c r="S49" s="98">
        <f t="shared" si="25"/>
        <v>1</v>
      </c>
      <c r="T49" s="98">
        <f t="shared" si="25"/>
        <v>1</v>
      </c>
      <c r="U49" s="98">
        <f t="shared" si="25"/>
        <v>1</v>
      </c>
      <c r="V49" s="98">
        <f t="shared" si="25"/>
        <v>1</v>
      </c>
      <c r="W49" s="98">
        <f t="shared" si="25"/>
        <v>1</v>
      </c>
    </row>
    <row r="50" spans="1:23" x14ac:dyDescent="0.3">
      <c r="A50" s="14" t="s">
        <v>800</v>
      </c>
      <c r="B50" s="94">
        <f>'02_Giả định'!$B$54</f>
        <v>0.17100000000000001</v>
      </c>
      <c r="C50" s="94">
        <f>'02_Giả định'!$B$54</f>
        <v>0.17100000000000001</v>
      </c>
      <c r="D50" s="94">
        <f>'02_Giả định'!$B$54</f>
        <v>0.17100000000000001</v>
      </c>
      <c r="E50" s="91"/>
      <c r="F50" s="91"/>
      <c r="G50" s="91"/>
      <c r="H50" s="95">
        <f t="shared" si="25"/>
        <v>0.17100000000000001</v>
      </c>
      <c r="I50" s="95">
        <f t="shared" si="25"/>
        <v>0.17100000000000001</v>
      </c>
      <c r="J50" s="95">
        <f t="shared" si="25"/>
        <v>0.17100000000000001</v>
      </c>
      <c r="K50" s="95">
        <f t="shared" si="25"/>
        <v>0.17100000000000001</v>
      </c>
      <c r="L50" s="95">
        <f t="shared" si="25"/>
        <v>0.17100000000000001</v>
      </c>
      <c r="M50" s="95">
        <f t="shared" si="25"/>
        <v>0.17100000000000001</v>
      </c>
      <c r="N50" s="95">
        <f t="shared" si="25"/>
        <v>0.17100000000000001</v>
      </c>
      <c r="O50" s="95">
        <f t="shared" si="25"/>
        <v>0.17100000000000001</v>
      </c>
      <c r="P50" s="95">
        <f t="shared" si="25"/>
        <v>0.17100000000000001</v>
      </c>
      <c r="Q50" s="95">
        <f t="shared" si="25"/>
        <v>0.17100000000000001</v>
      </c>
      <c r="R50" s="95">
        <f t="shared" si="25"/>
        <v>0.17100000000000001</v>
      </c>
      <c r="S50" s="95">
        <f t="shared" si="25"/>
        <v>0.17100000000000001</v>
      </c>
      <c r="T50" s="95">
        <f t="shared" si="25"/>
        <v>0.17100000000000001</v>
      </c>
      <c r="U50" s="95">
        <f t="shared" si="25"/>
        <v>0.17100000000000001</v>
      </c>
      <c r="V50" s="95">
        <f t="shared" si="25"/>
        <v>0.17100000000000001</v>
      </c>
      <c r="W50" s="95">
        <f t="shared" si="25"/>
        <v>0.17100000000000001</v>
      </c>
    </row>
    <row r="52" spans="1:23" x14ac:dyDescent="0.3">
      <c r="A52" s="51" t="s">
        <v>444</v>
      </c>
      <c r="B52" s="52"/>
      <c r="C52" s="52"/>
      <c r="D52" s="52"/>
      <c r="E52" s="52"/>
      <c r="F52" s="52"/>
      <c r="G52" s="52"/>
      <c r="H52" s="52"/>
      <c r="I52" s="52"/>
      <c r="J52" s="52"/>
      <c r="K52" s="52"/>
      <c r="L52" s="52"/>
      <c r="M52" s="52"/>
      <c r="N52" s="52"/>
      <c r="O52" s="52"/>
      <c r="P52" s="52"/>
      <c r="Q52" s="52"/>
      <c r="R52" s="52"/>
      <c r="S52" s="52"/>
      <c r="T52" s="52"/>
      <c r="U52" s="52"/>
      <c r="V52" s="52"/>
      <c r="W52" s="52"/>
    </row>
    <row r="53" spans="1:23" x14ac:dyDescent="0.3">
      <c r="A53" s="14" t="s">
        <v>445</v>
      </c>
      <c r="B53" s="57">
        <f>B41+B8</f>
        <v>0.33246325027295698</v>
      </c>
      <c r="C53" s="57">
        <f>C41+C8</f>
        <v>0.34746325027295699</v>
      </c>
      <c r="D53" s="57">
        <f>D41+D8</f>
        <v>0.357463250272957</v>
      </c>
      <c r="H53" s="57">
        <f t="shared" ref="H53:V53" si="26">H41+H8</f>
        <v>0.34746325027295699</v>
      </c>
      <c r="I53" s="57">
        <f t="shared" si="26"/>
        <v>0.34746325027295699</v>
      </c>
      <c r="J53" s="57">
        <f t="shared" si="26"/>
        <v>0.34746325027295699</v>
      </c>
      <c r="K53" s="57">
        <f t="shared" si="26"/>
        <v>0.34746325027295699</v>
      </c>
      <c r="L53" s="57">
        <f t="shared" si="26"/>
        <v>0.34746325027295699</v>
      </c>
      <c r="M53" s="57">
        <f t="shared" si="26"/>
        <v>0.34746325027295699</v>
      </c>
      <c r="N53" s="57">
        <f t="shared" si="26"/>
        <v>0.34746325027295699</v>
      </c>
      <c r="O53" s="57">
        <f t="shared" si="26"/>
        <v>0.34746325027295699</v>
      </c>
      <c r="P53" s="57">
        <f t="shared" si="26"/>
        <v>0.34746325027295699</v>
      </c>
      <c r="Q53" s="57">
        <f t="shared" si="26"/>
        <v>0.34746325027295699</v>
      </c>
      <c r="R53" s="57">
        <f t="shared" si="26"/>
        <v>0.34746325027295699</v>
      </c>
      <c r="S53" s="57">
        <f t="shared" si="26"/>
        <v>0.34746325027295699</v>
      </c>
      <c r="T53" s="57">
        <f t="shared" si="26"/>
        <v>0.34746325027295699</v>
      </c>
      <c r="U53" s="57">
        <f t="shared" si="26"/>
        <v>0.35380724575863537</v>
      </c>
      <c r="V53" s="57">
        <f t="shared" si="26"/>
        <v>0.34746325027295699</v>
      </c>
      <c r="W53" s="57">
        <f t="shared" ref="W53" si="27">W41+W8</f>
        <v>0.36131665922403255</v>
      </c>
    </row>
    <row r="54" spans="1:23" x14ac:dyDescent="0.3">
      <c r="A54" s="14" t="s">
        <v>446</v>
      </c>
      <c r="B54" s="43">
        <f>B40*B7+B53*B6</f>
        <v>801.4191506005053</v>
      </c>
      <c r="C54" s="43">
        <f>C40*C7+C53*C6</f>
        <v>915.28496316874464</v>
      </c>
      <c r="D54" s="43">
        <f>D40*D7+D53*D6</f>
        <v>1025.1507757369839</v>
      </c>
      <c r="H54" s="43">
        <f t="shared" ref="H54:V54" si="28">H40*H7+H53*H6</f>
        <v>915.28496316874464</v>
      </c>
      <c r="I54" s="43">
        <f t="shared" si="28"/>
        <v>915.28496316874464</v>
      </c>
      <c r="J54" s="43">
        <f t="shared" si="28"/>
        <v>915.28496316874464</v>
      </c>
      <c r="K54" s="43">
        <f t="shared" si="28"/>
        <v>915.28496316874464</v>
      </c>
      <c r="L54" s="43">
        <f t="shared" si="28"/>
        <v>915.28496316874464</v>
      </c>
      <c r="M54" s="43">
        <f t="shared" si="28"/>
        <v>915.28496316874464</v>
      </c>
      <c r="N54" s="43">
        <f t="shared" si="28"/>
        <v>915.28496316874464</v>
      </c>
      <c r="O54" s="43">
        <f t="shared" si="28"/>
        <v>915.28496316874464</v>
      </c>
      <c r="P54" s="43">
        <f t="shared" si="28"/>
        <v>816.8785062059394</v>
      </c>
      <c r="Q54" s="43">
        <f t="shared" si="28"/>
        <v>1005.6681462194969</v>
      </c>
      <c r="R54" s="43">
        <f t="shared" si="28"/>
        <v>915.28496316874464</v>
      </c>
      <c r="S54" s="43">
        <f t="shared" si="28"/>
        <v>915.28496316874464</v>
      </c>
      <c r="T54" s="43">
        <f t="shared" si="28"/>
        <v>915.28496316874464</v>
      </c>
      <c r="U54" s="43">
        <f t="shared" si="28"/>
        <v>930.82775210865668</v>
      </c>
      <c r="V54" s="43">
        <f t="shared" si="28"/>
        <v>915.28496316874464</v>
      </c>
      <c r="W54" s="43">
        <f t="shared" ref="W54" si="29">W40*W7+W53*W6</f>
        <v>917.22581509887971</v>
      </c>
    </row>
    <row r="55" spans="1:23" x14ac:dyDescent="0.3">
      <c r="A55" s="14" t="s">
        <v>447</v>
      </c>
      <c r="B55" s="43">
        <f>B9*B6</f>
        <v>616.00000000000011</v>
      </c>
      <c r="C55" s="43">
        <f>C9*C6</f>
        <v>661.5</v>
      </c>
      <c r="D55" s="43">
        <f>D9*D6</f>
        <v>702</v>
      </c>
      <c r="F55" s="38" t="s">
        <v>448</v>
      </c>
      <c r="H55" s="43">
        <f t="shared" ref="H55:V55" si="30">H9*H6</f>
        <v>661.5</v>
      </c>
      <c r="I55" s="43">
        <f t="shared" si="30"/>
        <v>661.5</v>
      </c>
      <c r="J55" s="43">
        <f t="shared" si="30"/>
        <v>661.5</v>
      </c>
      <c r="K55" s="43">
        <f t="shared" si="30"/>
        <v>661.5</v>
      </c>
      <c r="L55" s="43">
        <f t="shared" si="30"/>
        <v>661.5</v>
      </c>
      <c r="M55" s="43">
        <f t="shared" si="30"/>
        <v>661.5</v>
      </c>
      <c r="N55" s="43">
        <f t="shared" si="30"/>
        <v>661.5</v>
      </c>
      <c r="O55" s="43">
        <f t="shared" si="30"/>
        <v>661.5</v>
      </c>
      <c r="P55" s="43">
        <f t="shared" si="30"/>
        <v>585.03222000000005</v>
      </c>
      <c r="Q55" s="43">
        <f t="shared" si="30"/>
        <v>731.73320999999999</v>
      </c>
      <c r="R55" s="43">
        <f t="shared" si="30"/>
        <v>670.47890415438144</v>
      </c>
      <c r="S55" s="43">
        <f t="shared" si="30"/>
        <v>661.5</v>
      </c>
      <c r="T55" s="43">
        <f t="shared" si="30"/>
        <v>661.5</v>
      </c>
      <c r="U55" s="43">
        <f t="shared" si="30"/>
        <v>661.5</v>
      </c>
      <c r="V55" s="43">
        <f t="shared" si="30"/>
        <v>661.5</v>
      </c>
      <c r="W55" s="43">
        <f t="shared" ref="W55" si="31">W9*W6</f>
        <v>661.5</v>
      </c>
    </row>
    <row r="56" spans="1:23" ht="24" x14ac:dyDescent="0.3">
      <c r="A56" s="9" t="s">
        <v>449</v>
      </c>
      <c r="B56" s="67">
        <f>B54-B55-B42</f>
        <v>146.41915060050519</v>
      </c>
      <c r="C56" s="67">
        <f>C54-C55-C42</f>
        <v>214.78496316874464</v>
      </c>
      <c r="D56" s="67">
        <f>D54-D55-D42</f>
        <v>284.15077573698386</v>
      </c>
      <c r="F56" s="38" t="s">
        <v>450</v>
      </c>
      <c r="H56" s="67">
        <f t="shared" ref="H56:V56" si="32">H54-H55-H42</f>
        <v>214.78496316874464</v>
      </c>
      <c r="I56" s="67">
        <f t="shared" si="32"/>
        <v>214.78496316874464</v>
      </c>
      <c r="J56" s="67">
        <f t="shared" si="32"/>
        <v>214.78496316874464</v>
      </c>
      <c r="K56" s="67">
        <f t="shared" si="32"/>
        <v>214.78496316874464</v>
      </c>
      <c r="L56" s="67">
        <f t="shared" si="32"/>
        <v>214.78496316874464</v>
      </c>
      <c r="M56" s="67">
        <f t="shared" si="32"/>
        <v>214.78496316874464</v>
      </c>
      <c r="N56" s="67">
        <f t="shared" si="32"/>
        <v>214.78496316874464</v>
      </c>
      <c r="O56" s="67">
        <f t="shared" si="32"/>
        <v>214.78496316874464</v>
      </c>
      <c r="P56" s="67">
        <f t="shared" si="32"/>
        <v>192.84628620593935</v>
      </c>
      <c r="Q56" s="67">
        <f t="shared" si="32"/>
        <v>234.93493621949688</v>
      </c>
      <c r="R56" s="67">
        <f t="shared" si="32"/>
        <v>205.8060590143632</v>
      </c>
      <c r="S56" s="67">
        <f t="shared" si="32"/>
        <v>214.78496316874464</v>
      </c>
      <c r="T56" s="67">
        <f t="shared" si="32"/>
        <v>214.78496316874464</v>
      </c>
      <c r="U56" s="67">
        <f t="shared" si="32"/>
        <v>230.32775210865668</v>
      </c>
      <c r="V56" s="67">
        <f t="shared" si="32"/>
        <v>214.78496316874464</v>
      </c>
      <c r="W56" s="67">
        <f t="shared" ref="W56" si="33">W54-W55-W42</f>
        <v>216.72581509887971</v>
      </c>
    </row>
    <row r="57" spans="1:23" x14ac:dyDescent="0.3">
      <c r="A57" s="14" t="s">
        <v>451</v>
      </c>
      <c r="B57" s="43">
        <f>B56*(1-B10)</f>
        <v>133.24142704645973</v>
      </c>
      <c r="C57" s="43">
        <f>C56*(1-C10)</f>
        <v>195.45431648355762</v>
      </c>
      <c r="D57" s="43">
        <f>D56*(1-D10)</f>
        <v>258.57720592065533</v>
      </c>
      <c r="H57" s="43">
        <f t="shared" ref="H57:V57" si="34">H56*(1-H10)</f>
        <v>195.45431648355762</v>
      </c>
      <c r="I57" s="43">
        <f t="shared" si="34"/>
        <v>195.45431648355762</v>
      </c>
      <c r="J57" s="43">
        <f t="shared" si="34"/>
        <v>195.45431648355762</v>
      </c>
      <c r="K57" s="43">
        <f t="shared" si="34"/>
        <v>195.45431648355762</v>
      </c>
      <c r="L57" s="43">
        <f t="shared" si="34"/>
        <v>195.45431648355762</v>
      </c>
      <c r="M57" s="43">
        <f t="shared" si="34"/>
        <v>195.45431648355762</v>
      </c>
      <c r="N57" s="43">
        <f t="shared" si="34"/>
        <v>195.45431648355762</v>
      </c>
      <c r="O57" s="43">
        <f t="shared" si="34"/>
        <v>195.45431648355762</v>
      </c>
      <c r="P57" s="43">
        <f t="shared" si="34"/>
        <v>175.49012044740482</v>
      </c>
      <c r="Q57" s="43">
        <f t="shared" si="34"/>
        <v>213.79079195974217</v>
      </c>
      <c r="R57" s="43">
        <f t="shared" si="34"/>
        <v>187.28351370307053</v>
      </c>
      <c r="S57" s="43">
        <f t="shared" si="34"/>
        <v>195.45431648355762</v>
      </c>
      <c r="T57" s="43">
        <f t="shared" si="34"/>
        <v>195.45431648355762</v>
      </c>
      <c r="U57" s="43">
        <f t="shared" si="34"/>
        <v>209.59825441887759</v>
      </c>
      <c r="V57" s="43">
        <f t="shared" si="34"/>
        <v>195.45431648355762</v>
      </c>
      <c r="W57" s="43">
        <f t="shared" ref="W57" si="35">W56*(1-W10)</f>
        <v>197.22049173998053</v>
      </c>
    </row>
    <row r="58" spans="1:23" x14ac:dyDescent="0.3">
      <c r="A58" s="9" t="s">
        <v>452</v>
      </c>
      <c r="B58" s="68">
        <f>B57*(1-B36)</f>
        <v>119.91728434181377</v>
      </c>
      <c r="C58" s="68">
        <f>C57*(1-C36)</f>
        <v>175.90888483520186</v>
      </c>
      <c r="D58" s="68">
        <f>D57*(1-D36)</f>
        <v>232.7194853285898</v>
      </c>
      <c r="H58" s="68">
        <f t="shared" ref="H58:V58" si="36">H57*(1-H36)</f>
        <v>175.90888483520186</v>
      </c>
      <c r="I58" s="68">
        <f t="shared" si="36"/>
        <v>175.90888483520186</v>
      </c>
      <c r="J58" s="68">
        <f t="shared" si="36"/>
        <v>175.90888483520186</v>
      </c>
      <c r="K58" s="68">
        <f t="shared" si="36"/>
        <v>175.90888483520186</v>
      </c>
      <c r="L58" s="68">
        <f t="shared" si="36"/>
        <v>175.90888483520186</v>
      </c>
      <c r="M58" s="68">
        <f t="shared" si="36"/>
        <v>175.90888483520186</v>
      </c>
      <c r="N58" s="68">
        <f t="shared" si="36"/>
        <v>175.90888483520186</v>
      </c>
      <c r="O58" s="68">
        <f t="shared" si="36"/>
        <v>175.90888483520186</v>
      </c>
      <c r="P58" s="68">
        <f t="shared" si="36"/>
        <v>157.94110840266436</v>
      </c>
      <c r="Q58" s="68">
        <f t="shared" si="36"/>
        <v>192.41171276376795</v>
      </c>
      <c r="R58" s="68">
        <f t="shared" si="36"/>
        <v>168.55516233276347</v>
      </c>
      <c r="S58" s="68">
        <f t="shared" si="36"/>
        <v>175.90888483520186</v>
      </c>
      <c r="T58" s="68">
        <f t="shared" si="36"/>
        <v>175.90888483520186</v>
      </c>
      <c r="U58" s="68">
        <f t="shared" si="36"/>
        <v>188.63842897698984</v>
      </c>
      <c r="V58" s="68">
        <f t="shared" si="36"/>
        <v>175.90888483520186</v>
      </c>
      <c r="W58" s="68">
        <f t="shared" ref="W58" si="37">W57*(1-W36)</f>
        <v>177.49844256598249</v>
      </c>
    </row>
    <row r="59" spans="1:23" x14ac:dyDescent="0.3">
      <c r="A59" s="14" t="s">
        <v>453</v>
      </c>
      <c r="B59" s="15">
        <f>B58*1000/'01_Số liệu gốc'!$B$8</f>
        <v>1090.1571303801252</v>
      </c>
      <c r="C59" s="15">
        <f>C58*1000/'01_Số liệu gốc'!$B$8</f>
        <v>1599.171680320017</v>
      </c>
      <c r="D59" s="15">
        <f>D58*1000/'01_Số liệu gốc'!$B$8</f>
        <v>2115.6316848053616</v>
      </c>
      <c r="H59" s="15">
        <f>H58*1000/'01_Số liệu gốc'!$B$8</f>
        <v>1599.171680320017</v>
      </c>
      <c r="I59" s="15">
        <f>I58*1000/'01_Số liệu gốc'!$B$8</f>
        <v>1599.171680320017</v>
      </c>
      <c r="J59" s="15">
        <f>J58*1000/'01_Số liệu gốc'!$B$8</f>
        <v>1599.171680320017</v>
      </c>
      <c r="K59" s="15">
        <f>K58*1000/'01_Số liệu gốc'!$B$8</f>
        <v>1599.171680320017</v>
      </c>
      <c r="L59" s="15">
        <f>L58*1000/'01_Số liệu gốc'!$B$8</f>
        <v>1599.171680320017</v>
      </c>
      <c r="M59" s="15">
        <f>M58*1000/'01_Số liệu gốc'!$B$8</f>
        <v>1599.171680320017</v>
      </c>
      <c r="N59" s="15">
        <f>N58*1000/'01_Số liệu gốc'!$B$8</f>
        <v>1599.171680320017</v>
      </c>
      <c r="O59" s="15">
        <f>O58*1000/'01_Số liệu gốc'!$B$8</f>
        <v>1599.171680320017</v>
      </c>
      <c r="P59" s="15">
        <f>P58*1000/'01_Số liệu gốc'!$B$8</f>
        <v>1435.8282582060397</v>
      </c>
      <c r="Q59" s="15">
        <f>Q58*1000/'01_Số liệu gốc'!$B$8</f>
        <v>1749.1973887615268</v>
      </c>
      <c r="R59" s="15">
        <f>R58*1000/'01_Số liệu gốc'!$B$8</f>
        <v>1532.319657570577</v>
      </c>
      <c r="S59" s="15">
        <f>S58*1000/'01_Số liệu gốc'!$B$8</f>
        <v>1599.171680320017</v>
      </c>
      <c r="T59" s="15">
        <f>T58*1000/'01_Số liệu gốc'!$B$8</f>
        <v>1599.171680320017</v>
      </c>
      <c r="U59" s="15">
        <f>U58*1000/'01_Số liệu gốc'!$B$8</f>
        <v>1714.8948088817258</v>
      </c>
      <c r="V59" s="15">
        <f>V58*1000/'01_Số liệu gốc'!$B$8</f>
        <v>1599.171680320017</v>
      </c>
      <c r="W59" s="15">
        <f>W58*1000/'01_Số liệu gốc'!$B$8</f>
        <v>1613.6222051452953</v>
      </c>
    </row>
    <row r="60" spans="1:23" x14ac:dyDescent="0.3">
      <c r="A60" s="14" t="s">
        <v>454</v>
      </c>
      <c r="B60" s="43">
        <f>B56+B43</f>
        <v>217.32715060050521</v>
      </c>
      <c r="C60" s="43">
        <f>C56+C43</f>
        <v>285.69296316874465</v>
      </c>
      <c r="D60" s="43">
        <f>D56+D43</f>
        <v>355.05877573698388</v>
      </c>
      <c r="H60" s="43">
        <f t="shared" ref="H60:V60" si="38">H56+H43</f>
        <v>285.69296316874465</v>
      </c>
      <c r="I60" s="43">
        <f t="shared" si="38"/>
        <v>285.69296316874465</v>
      </c>
      <c r="J60" s="43">
        <f t="shared" si="38"/>
        <v>285.69296316874465</v>
      </c>
      <c r="K60" s="43">
        <f t="shared" si="38"/>
        <v>285.69296316874465</v>
      </c>
      <c r="L60" s="43">
        <f t="shared" si="38"/>
        <v>285.69296316874465</v>
      </c>
      <c r="M60" s="43">
        <f t="shared" si="38"/>
        <v>285.69296316874465</v>
      </c>
      <c r="N60" s="43">
        <f t="shared" si="38"/>
        <v>285.69296316874465</v>
      </c>
      <c r="O60" s="43">
        <f t="shared" si="38"/>
        <v>285.69296316874465</v>
      </c>
      <c r="P60" s="43">
        <f t="shared" si="38"/>
        <v>263.75428620593937</v>
      </c>
      <c r="Q60" s="43">
        <f t="shared" si="38"/>
        <v>305.84293621949689</v>
      </c>
      <c r="R60" s="43">
        <f t="shared" si="38"/>
        <v>276.71405901436322</v>
      </c>
      <c r="S60" s="43">
        <f t="shared" si="38"/>
        <v>285.69296316874465</v>
      </c>
      <c r="T60" s="43">
        <f t="shared" si="38"/>
        <v>285.69296316874465</v>
      </c>
      <c r="U60" s="43">
        <f t="shared" si="38"/>
        <v>301.2357521086567</v>
      </c>
      <c r="V60" s="43">
        <f t="shared" si="38"/>
        <v>285.69296316874465</v>
      </c>
      <c r="W60" s="43">
        <f t="shared" ref="W60" si="39">W56+W43</f>
        <v>287.63381509887972</v>
      </c>
    </row>
    <row r="61" spans="1:23" x14ac:dyDescent="0.3">
      <c r="A61" s="14" t="s">
        <v>455</v>
      </c>
      <c r="B61" s="27">
        <f>'01_Số liệu gốc'!$C$73</f>
        <v>463.2349999999999</v>
      </c>
      <c r="C61" s="27">
        <f>'01_Số liệu gốc'!$C$73</f>
        <v>463.2349999999999</v>
      </c>
      <c r="D61" s="27">
        <f>'01_Số liệu gốc'!$C$73</f>
        <v>463.2349999999999</v>
      </c>
      <c r="H61" s="27">
        <f>'01_Số liệu gốc'!$C$73</f>
        <v>463.2349999999999</v>
      </c>
      <c r="I61" s="27">
        <f>'01_Số liệu gốc'!$C$73</f>
        <v>463.2349999999999</v>
      </c>
      <c r="J61" s="27">
        <f>'01_Số liệu gốc'!$C$73</f>
        <v>463.2349999999999</v>
      </c>
      <c r="K61" s="27">
        <f>'01_Số liệu gốc'!$C$73</f>
        <v>463.2349999999999</v>
      </c>
      <c r="L61" s="27">
        <f>'01_Số liệu gốc'!$C$73</f>
        <v>463.2349999999999</v>
      </c>
      <c r="M61" s="27">
        <f>'01_Số liệu gốc'!$C$73</f>
        <v>463.2349999999999</v>
      </c>
      <c r="N61" s="27">
        <f>'01_Số liệu gốc'!$C$73</f>
        <v>463.2349999999999</v>
      </c>
      <c r="O61" s="27">
        <f>'01_Số liệu gốc'!$C$73</f>
        <v>463.2349999999999</v>
      </c>
      <c r="P61" s="27">
        <f>'01_Số liệu gốc'!$C$73</f>
        <v>463.2349999999999</v>
      </c>
      <c r="Q61" s="27">
        <f>'01_Số liệu gốc'!$C$73</f>
        <v>463.2349999999999</v>
      </c>
      <c r="R61" s="27">
        <f>'01_Số liệu gốc'!$C$73</f>
        <v>463.2349999999999</v>
      </c>
      <c r="S61" s="27">
        <f>'01_Số liệu gốc'!$C$73</f>
        <v>463.2349999999999</v>
      </c>
      <c r="T61" s="27">
        <f>'01_Số liệu gốc'!$C$73</f>
        <v>463.2349999999999</v>
      </c>
      <c r="U61" s="27">
        <f>'01_Số liệu gốc'!$C$73</f>
        <v>463.2349999999999</v>
      </c>
      <c r="V61" s="27">
        <f>'01_Số liệu gốc'!$C$73</f>
        <v>463.2349999999999</v>
      </c>
      <c r="W61" s="27">
        <f>'01_Số liệu gốc'!$C$73</f>
        <v>463.2349999999999</v>
      </c>
    </row>
    <row r="62" spans="1:23" x14ac:dyDescent="0.3">
      <c r="A62" s="14" t="s">
        <v>456</v>
      </c>
      <c r="B62" s="57">
        <f>B57/B61</f>
        <v>0.28763246958122718</v>
      </c>
      <c r="C62" s="57">
        <f>C57/C61</f>
        <v>0.42193339554126452</v>
      </c>
      <c r="D62" s="57">
        <f>D57/D61</f>
        <v>0.55819876719301298</v>
      </c>
      <c r="H62" s="57">
        <f t="shared" ref="H62:V62" si="40">H57/H61</f>
        <v>0.42193339554126452</v>
      </c>
      <c r="I62" s="57">
        <f t="shared" si="40"/>
        <v>0.42193339554126452</v>
      </c>
      <c r="J62" s="57">
        <f t="shared" si="40"/>
        <v>0.42193339554126452</v>
      </c>
      <c r="K62" s="57">
        <f t="shared" si="40"/>
        <v>0.42193339554126452</v>
      </c>
      <c r="L62" s="57">
        <f t="shared" si="40"/>
        <v>0.42193339554126452</v>
      </c>
      <c r="M62" s="57">
        <f t="shared" si="40"/>
        <v>0.42193339554126452</v>
      </c>
      <c r="N62" s="57">
        <f t="shared" si="40"/>
        <v>0.42193339554126452</v>
      </c>
      <c r="O62" s="57">
        <f t="shared" si="40"/>
        <v>0.42193339554126452</v>
      </c>
      <c r="P62" s="57">
        <f t="shared" si="40"/>
        <v>0.37883605609983023</v>
      </c>
      <c r="Q62" s="57">
        <f t="shared" si="40"/>
        <v>0.46151692328891863</v>
      </c>
      <c r="R62" s="57">
        <f t="shared" si="40"/>
        <v>0.40429482595889898</v>
      </c>
      <c r="S62" s="57">
        <f t="shared" si="40"/>
        <v>0.42193339554126452</v>
      </c>
      <c r="T62" s="57">
        <f t="shared" si="40"/>
        <v>0.42193339554126452</v>
      </c>
      <c r="U62" s="57">
        <f t="shared" si="40"/>
        <v>0.45246636031145665</v>
      </c>
      <c r="V62" s="57">
        <f t="shared" si="40"/>
        <v>0.42193339554126452</v>
      </c>
      <c r="W62" s="57">
        <f t="shared" ref="W62" si="41">W57/W61</f>
        <v>0.4257460937536684</v>
      </c>
    </row>
    <row r="64" spans="1:23" x14ac:dyDescent="0.3">
      <c r="A64" s="51" t="s">
        <v>457</v>
      </c>
      <c r="B64" s="52"/>
      <c r="C64" s="52"/>
      <c r="D64" s="52"/>
      <c r="E64" s="52"/>
      <c r="F64" s="52"/>
      <c r="G64" s="52"/>
      <c r="H64" s="52"/>
      <c r="I64" s="52"/>
      <c r="J64" s="52"/>
      <c r="K64" s="52"/>
      <c r="L64" s="52"/>
      <c r="M64" s="52"/>
      <c r="N64" s="52"/>
      <c r="O64" s="52"/>
      <c r="P64" s="52"/>
      <c r="Q64" s="52"/>
      <c r="R64" s="52"/>
      <c r="S64" s="52"/>
      <c r="T64" s="52"/>
      <c r="U64" s="52"/>
      <c r="V64" s="52"/>
      <c r="W64" s="52"/>
    </row>
    <row r="65" spans="1:23" x14ac:dyDescent="0.3">
      <c r="A65" s="14" t="s">
        <v>458</v>
      </c>
      <c r="B65" s="43">
        <f>B17+B18</f>
        <v>1196</v>
      </c>
      <c r="C65" s="43">
        <f>C17+C18</f>
        <v>1120</v>
      </c>
      <c r="D65" s="43">
        <f>D17+D18</f>
        <v>1120</v>
      </c>
      <c r="H65" s="43">
        <f t="shared" ref="H65:V65" si="42">H17+H18</f>
        <v>1120</v>
      </c>
      <c r="I65" s="43">
        <f t="shared" si="42"/>
        <v>1120</v>
      </c>
      <c r="J65" s="43">
        <f t="shared" si="42"/>
        <v>1120</v>
      </c>
      <c r="K65" s="43">
        <f t="shared" si="42"/>
        <v>1120</v>
      </c>
      <c r="L65" s="43">
        <f t="shared" si="42"/>
        <v>1120</v>
      </c>
      <c r="M65" s="43">
        <f t="shared" si="42"/>
        <v>1120</v>
      </c>
      <c r="N65" s="43">
        <f t="shared" si="42"/>
        <v>1120</v>
      </c>
      <c r="O65" s="43">
        <f t="shared" si="42"/>
        <v>1120</v>
      </c>
      <c r="P65" s="43">
        <f t="shared" si="42"/>
        <v>1120</v>
      </c>
      <c r="Q65" s="43">
        <f t="shared" si="42"/>
        <v>1120</v>
      </c>
      <c r="R65" s="43">
        <f t="shared" si="42"/>
        <v>1120</v>
      </c>
      <c r="S65" s="43">
        <f t="shared" si="42"/>
        <v>1120</v>
      </c>
      <c r="T65" s="43">
        <f t="shared" si="42"/>
        <v>1120</v>
      </c>
      <c r="U65" s="43">
        <f t="shared" si="42"/>
        <v>1120</v>
      </c>
      <c r="V65" s="43">
        <f t="shared" si="42"/>
        <v>1120</v>
      </c>
      <c r="W65" s="43">
        <f t="shared" ref="W65" si="43">W17+W18</f>
        <v>1120</v>
      </c>
    </row>
    <row r="66" spans="1:23" x14ac:dyDescent="0.3">
      <c r="A66" s="14" t="s">
        <v>459</v>
      </c>
      <c r="B66" s="27">
        <f>MAX(0,B65-'01_Số liệu gốc'!$C$68)</f>
        <v>780.67899999999997</v>
      </c>
      <c r="C66" s="27">
        <f>MAX(0,C65-'01_Số liệu gốc'!$C$68)</f>
        <v>704.67899999999997</v>
      </c>
      <c r="D66" s="27">
        <f>MAX(0,D65-'01_Số liệu gốc'!$C$68)</f>
        <v>704.67899999999997</v>
      </c>
      <c r="F66" s="38" t="s">
        <v>460</v>
      </c>
      <c r="H66" s="27">
        <f>MAX(0,H65-'01_Số liệu gốc'!$C$68)</f>
        <v>704.67899999999997</v>
      </c>
      <c r="I66" s="27">
        <f>MAX(0,I65-'01_Số liệu gốc'!$C$68)</f>
        <v>704.67899999999997</v>
      </c>
      <c r="J66" s="27">
        <f>MAX(0,J65-'01_Số liệu gốc'!$C$68)</f>
        <v>704.67899999999997</v>
      </c>
      <c r="K66" s="27">
        <f>MAX(0,K65-'01_Số liệu gốc'!$C$68)</f>
        <v>704.67899999999997</v>
      </c>
      <c r="L66" s="27">
        <f>MAX(0,L65-'01_Số liệu gốc'!$C$68)</f>
        <v>704.67899999999997</v>
      </c>
      <c r="M66" s="27">
        <f>MAX(0,M65-'01_Số liệu gốc'!$C$68)</f>
        <v>704.67899999999997</v>
      </c>
      <c r="N66" s="27">
        <f>MAX(0,N65-'01_Số liệu gốc'!$C$68)</f>
        <v>704.67899999999997</v>
      </c>
      <c r="O66" s="27">
        <f>MAX(0,O65-'01_Số liệu gốc'!$C$68)</f>
        <v>704.67899999999997</v>
      </c>
      <c r="P66" s="27">
        <f>MAX(0,P65-'01_Số liệu gốc'!$C$68)</f>
        <v>704.67899999999997</v>
      </c>
      <c r="Q66" s="27">
        <f>MAX(0,Q65-'01_Số liệu gốc'!$C$68)</f>
        <v>704.67899999999997</v>
      </c>
      <c r="R66" s="27">
        <f>MAX(0,R65-'01_Số liệu gốc'!$C$68)</f>
        <v>704.67899999999997</v>
      </c>
      <c r="S66" s="27">
        <f>MAX(0,S65-'01_Số liệu gốc'!$C$68)</f>
        <v>704.67899999999997</v>
      </c>
      <c r="T66" s="27">
        <f>MAX(0,T65-'01_Số liệu gốc'!$C$68)</f>
        <v>704.67899999999997</v>
      </c>
      <c r="U66" s="27">
        <f>MAX(0,U65-'01_Số liệu gốc'!$C$68)</f>
        <v>704.67899999999997</v>
      </c>
      <c r="V66" s="27">
        <f>MAX(0,V65-'01_Số liệu gốc'!$C$68)</f>
        <v>704.67899999999997</v>
      </c>
      <c r="W66" s="27">
        <f>MAX(0,W65-'01_Số liệu gốc'!$C$68)</f>
        <v>704.67899999999997</v>
      </c>
    </row>
    <row r="67" spans="1:23" x14ac:dyDescent="0.3">
      <c r="A67" s="14" t="s">
        <v>461</v>
      </c>
      <c r="B67" s="43">
        <f>B19*B21*(1+B23)/1000</f>
        <v>245.7</v>
      </c>
      <c r="C67" s="43">
        <f>C19*C21*(1+C23)/1000</f>
        <v>304.5</v>
      </c>
      <c r="D67" s="43">
        <f>D19*D21*(1+D23)/1000</f>
        <v>346.5</v>
      </c>
      <c r="H67" s="43">
        <f t="shared" ref="H67:V67" si="44">H19*H21*(1+H23)/1000</f>
        <v>304.5</v>
      </c>
      <c r="I67" s="43">
        <f t="shared" si="44"/>
        <v>304.5</v>
      </c>
      <c r="J67" s="43">
        <f t="shared" si="44"/>
        <v>304.5</v>
      </c>
      <c r="K67" s="43">
        <f t="shared" si="44"/>
        <v>273</v>
      </c>
      <c r="L67" s="43">
        <f t="shared" si="44"/>
        <v>304.5</v>
      </c>
      <c r="M67" s="43">
        <f t="shared" si="44"/>
        <v>304.5</v>
      </c>
      <c r="N67" s="43">
        <f t="shared" si="44"/>
        <v>304.5</v>
      </c>
      <c r="O67" s="43">
        <f t="shared" si="44"/>
        <v>304.5</v>
      </c>
      <c r="P67" s="43">
        <f t="shared" si="44"/>
        <v>304.5</v>
      </c>
      <c r="Q67" s="43">
        <f t="shared" si="44"/>
        <v>304.5</v>
      </c>
      <c r="R67" s="43">
        <f t="shared" si="44"/>
        <v>304.5</v>
      </c>
      <c r="S67" s="43">
        <f t="shared" si="44"/>
        <v>304.5</v>
      </c>
      <c r="T67" s="43">
        <f t="shared" si="44"/>
        <v>304.5</v>
      </c>
      <c r="U67" s="43">
        <f t="shared" si="44"/>
        <v>304.5</v>
      </c>
      <c r="V67" s="43">
        <f t="shared" si="44"/>
        <v>304.5</v>
      </c>
      <c r="W67" s="43">
        <f t="shared" ref="W67" si="45">W19*W21*(1+W23)/1000</f>
        <v>304.5</v>
      </c>
    </row>
    <row r="68" spans="1:23" x14ac:dyDescent="0.3">
      <c r="A68" s="14" t="s">
        <v>462</v>
      </c>
      <c r="B68" s="43">
        <f>B67-B19*B22/1000</f>
        <v>56.699999999999989</v>
      </c>
      <c r="C68" s="43">
        <f>C67-C19*C22/1000</f>
        <v>94.5</v>
      </c>
      <c r="D68" s="43">
        <f>D67-D19*D22/1000</f>
        <v>115.5</v>
      </c>
      <c r="H68" s="43">
        <f t="shared" ref="H68:V68" si="46">H67-H19*H22/1000</f>
        <v>94.5</v>
      </c>
      <c r="I68" s="43">
        <f t="shared" si="46"/>
        <v>94.5</v>
      </c>
      <c r="J68" s="43">
        <f t="shared" si="46"/>
        <v>94.5</v>
      </c>
      <c r="K68" s="43">
        <f t="shared" si="46"/>
        <v>63</v>
      </c>
      <c r="L68" s="43">
        <f t="shared" si="46"/>
        <v>74.5</v>
      </c>
      <c r="M68" s="43">
        <f t="shared" si="46"/>
        <v>94.5</v>
      </c>
      <c r="N68" s="43">
        <f t="shared" si="46"/>
        <v>94.5</v>
      </c>
      <c r="O68" s="43">
        <f t="shared" si="46"/>
        <v>94.5</v>
      </c>
      <c r="P68" s="43">
        <f t="shared" si="46"/>
        <v>94.5</v>
      </c>
      <c r="Q68" s="43">
        <f t="shared" si="46"/>
        <v>94.5</v>
      </c>
      <c r="R68" s="43">
        <f t="shared" si="46"/>
        <v>94.5</v>
      </c>
      <c r="S68" s="43">
        <f t="shared" si="46"/>
        <v>94.5</v>
      </c>
      <c r="T68" s="43">
        <f t="shared" si="46"/>
        <v>94.5</v>
      </c>
      <c r="U68" s="43">
        <f t="shared" si="46"/>
        <v>94.5</v>
      </c>
      <c r="V68" s="43">
        <f t="shared" si="46"/>
        <v>94.5</v>
      </c>
      <c r="W68" s="43">
        <f t="shared" ref="W68" si="47">W67-W19*W22/1000</f>
        <v>94.5</v>
      </c>
    </row>
    <row r="69" spans="1:23" x14ac:dyDescent="0.3">
      <c r="A69" s="14" t="s">
        <v>463</v>
      </c>
      <c r="B69" s="43">
        <f>B17/B25</f>
        <v>43</v>
      </c>
      <c r="C69" s="43">
        <f>C17/C25</f>
        <v>39.200000000000003</v>
      </c>
      <c r="D69" s="43">
        <f>D17/D25</f>
        <v>39.200000000000003</v>
      </c>
      <c r="H69" s="43">
        <f t="shared" ref="H69:V69" si="48">H17/H25</f>
        <v>39.200000000000003</v>
      </c>
      <c r="I69" s="43">
        <f t="shared" si="48"/>
        <v>39.200000000000003</v>
      </c>
      <c r="J69" s="43">
        <f t="shared" si="48"/>
        <v>39.200000000000003</v>
      </c>
      <c r="K69" s="43">
        <f t="shared" si="48"/>
        <v>39.200000000000003</v>
      </c>
      <c r="L69" s="43">
        <f t="shared" si="48"/>
        <v>39.200000000000003</v>
      </c>
      <c r="M69" s="43">
        <f t="shared" si="48"/>
        <v>39.200000000000003</v>
      </c>
      <c r="N69" s="43">
        <f t="shared" si="48"/>
        <v>39.200000000000003</v>
      </c>
      <c r="O69" s="43">
        <f t="shared" si="48"/>
        <v>39.200000000000003</v>
      </c>
      <c r="P69" s="43">
        <f t="shared" si="48"/>
        <v>39.200000000000003</v>
      </c>
      <c r="Q69" s="43">
        <f t="shared" si="48"/>
        <v>39.200000000000003</v>
      </c>
      <c r="R69" s="43">
        <f t="shared" si="48"/>
        <v>39.200000000000003</v>
      </c>
      <c r="S69" s="43">
        <f t="shared" si="48"/>
        <v>39.200000000000003</v>
      </c>
      <c r="T69" s="43">
        <f t="shared" si="48"/>
        <v>39.200000000000003</v>
      </c>
      <c r="U69" s="43">
        <f t="shared" si="48"/>
        <v>39.200000000000003</v>
      </c>
      <c r="V69" s="43">
        <f t="shared" si="48"/>
        <v>39.200000000000003</v>
      </c>
      <c r="W69" s="43">
        <f t="shared" ref="W69" si="49">W17/W25</f>
        <v>39.200000000000003</v>
      </c>
    </row>
    <row r="70" spans="1:23" x14ac:dyDescent="0.3">
      <c r="A70" s="14" t="s">
        <v>464</v>
      </c>
      <c r="B70" s="43">
        <f>B68-B69</f>
        <v>13.699999999999989</v>
      </c>
      <c r="C70" s="43">
        <f>C68-C69</f>
        <v>55.3</v>
      </c>
      <c r="D70" s="43">
        <f>D68-D69</f>
        <v>76.3</v>
      </c>
      <c r="H70" s="43">
        <f t="shared" ref="H70:V70" si="50">H68-H69</f>
        <v>55.3</v>
      </c>
      <c r="I70" s="43">
        <f t="shared" si="50"/>
        <v>55.3</v>
      </c>
      <c r="J70" s="43">
        <f t="shared" si="50"/>
        <v>55.3</v>
      </c>
      <c r="K70" s="43">
        <f t="shared" si="50"/>
        <v>23.799999999999997</v>
      </c>
      <c r="L70" s="43">
        <f t="shared" si="50"/>
        <v>35.299999999999997</v>
      </c>
      <c r="M70" s="43">
        <f t="shared" si="50"/>
        <v>55.3</v>
      </c>
      <c r="N70" s="43">
        <f t="shared" si="50"/>
        <v>55.3</v>
      </c>
      <c r="O70" s="43">
        <f t="shared" si="50"/>
        <v>55.3</v>
      </c>
      <c r="P70" s="43">
        <f t="shared" si="50"/>
        <v>55.3</v>
      </c>
      <c r="Q70" s="43">
        <f t="shared" si="50"/>
        <v>55.3</v>
      </c>
      <c r="R70" s="43">
        <f t="shared" si="50"/>
        <v>55.3</v>
      </c>
      <c r="S70" s="43">
        <f t="shared" si="50"/>
        <v>55.3</v>
      </c>
      <c r="T70" s="43">
        <f t="shared" si="50"/>
        <v>55.3</v>
      </c>
      <c r="U70" s="43">
        <f t="shared" si="50"/>
        <v>55.3</v>
      </c>
      <c r="V70" s="43">
        <f t="shared" si="50"/>
        <v>55.3</v>
      </c>
      <c r="W70" s="43">
        <f t="shared" ref="W70" si="51">W68-W69</f>
        <v>55.3</v>
      </c>
    </row>
    <row r="71" spans="1:23" x14ac:dyDescent="0.3">
      <c r="A71" s="14" t="s">
        <v>465</v>
      </c>
      <c r="B71" s="43">
        <f>B68-B24</f>
        <v>41.699999999999989</v>
      </c>
      <c r="C71" s="43">
        <f>C68-C24</f>
        <v>79.5</v>
      </c>
      <c r="D71" s="43">
        <f>D68-D24</f>
        <v>100.5</v>
      </c>
      <c r="H71" s="43">
        <f t="shared" ref="H71:V71" si="52">H68-H24</f>
        <v>79.5</v>
      </c>
      <c r="I71" s="43">
        <f t="shared" si="52"/>
        <v>79.5</v>
      </c>
      <c r="J71" s="43">
        <f t="shared" si="52"/>
        <v>79.5</v>
      </c>
      <c r="K71" s="43">
        <f t="shared" si="52"/>
        <v>48</v>
      </c>
      <c r="L71" s="43">
        <f t="shared" si="52"/>
        <v>59.5</v>
      </c>
      <c r="M71" s="43">
        <f t="shared" si="52"/>
        <v>79.5</v>
      </c>
      <c r="N71" s="43">
        <f t="shared" si="52"/>
        <v>79.5</v>
      </c>
      <c r="O71" s="43">
        <f t="shared" si="52"/>
        <v>79.5</v>
      </c>
      <c r="P71" s="43">
        <f t="shared" si="52"/>
        <v>79.5</v>
      </c>
      <c r="Q71" s="43">
        <f t="shared" si="52"/>
        <v>79.5</v>
      </c>
      <c r="R71" s="43">
        <f t="shared" si="52"/>
        <v>79.5</v>
      </c>
      <c r="S71" s="43">
        <f t="shared" si="52"/>
        <v>79.5</v>
      </c>
      <c r="T71" s="43">
        <f t="shared" si="52"/>
        <v>79.5</v>
      </c>
      <c r="U71" s="43">
        <f t="shared" si="52"/>
        <v>79.5</v>
      </c>
      <c r="V71" s="43">
        <f t="shared" si="52"/>
        <v>79.5</v>
      </c>
      <c r="W71" s="43">
        <f t="shared" ref="W71" si="53">W68-W24</f>
        <v>79.5</v>
      </c>
    </row>
    <row r="72" spans="1:23" x14ac:dyDescent="0.3">
      <c r="A72" s="14" t="s">
        <v>466</v>
      </c>
      <c r="B72" s="57">
        <f>B70/B17</f>
        <v>1.5930232558139523E-2</v>
      </c>
      <c r="C72" s="57">
        <f>C70/C17</f>
        <v>7.0535714285714285E-2</v>
      </c>
      <c r="D72" s="57">
        <f>D70/D17</f>
        <v>9.7321428571428573E-2</v>
      </c>
      <c r="H72" s="57">
        <f t="shared" ref="H72:V72" si="54">H70/H17</f>
        <v>7.0535714285714285E-2</v>
      </c>
      <c r="I72" s="57">
        <f t="shared" si="54"/>
        <v>7.0535714285714285E-2</v>
      </c>
      <c r="J72" s="57">
        <f t="shared" si="54"/>
        <v>7.0535714285714285E-2</v>
      </c>
      <c r="K72" s="57">
        <f t="shared" si="54"/>
        <v>3.0357142857142853E-2</v>
      </c>
      <c r="L72" s="57">
        <f t="shared" si="54"/>
        <v>4.5025510204081631E-2</v>
      </c>
      <c r="M72" s="57">
        <f t="shared" si="54"/>
        <v>7.0535714285714285E-2</v>
      </c>
      <c r="N72" s="57">
        <f t="shared" si="54"/>
        <v>7.0535714285714285E-2</v>
      </c>
      <c r="O72" s="57">
        <f t="shared" si="54"/>
        <v>7.0535714285714285E-2</v>
      </c>
      <c r="P72" s="57">
        <f t="shared" si="54"/>
        <v>7.0535714285714285E-2</v>
      </c>
      <c r="Q72" s="57">
        <f t="shared" si="54"/>
        <v>7.0535714285714285E-2</v>
      </c>
      <c r="R72" s="57">
        <f t="shared" si="54"/>
        <v>7.0535714285714285E-2</v>
      </c>
      <c r="S72" s="57">
        <f t="shared" si="54"/>
        <v>7.0535714285714285E-2</v>
      </c>
      <c r="T72" s="57">
        <f t="shared" si="54"/>
        <v>7.0535714285714285E-2</v>
      </c>
      <c r="U72" s="57">
        <f t="shared" si="54"/>
        <v>7.0535714285714285E-2</v>
      </c>
      <c r="V72" s="57">
        <f t="shared" si="54"/>
        <v>7.0535714285714285E-2</v>
      </c>
      <c r="W72" s="57">
        <f t="shared" ref="W72" si="55">W70/W17</f>
        <v>7.0535714285714285E-2</v>
      </c>
    </row>
    <row r="73" spans="1:23" x14ac:dyDescent="0.3">
      <c r="A73" s="14" t="s">
        <v>467</v>
      </c>
      <c r="B73" s="43">
        <f>B26*(1-B37)</f>
        <v>0</v>
      </c>
      <c r="C73" s="43">
        <f>C26*(1-C37)</f>
        <v>8</v>
      </c>
      <c r="D73" s="43">
        <f>D26*(1-D37)</f>
        <v>20</v>
      </c>
      <c r="H73" s="43">
        <f t="shared" ref="H73:V73" si="56">H26*(1-H37)</f>
        <v>8</v>
      </c>
      <c r="I73" s="43">
        <f t="shared" si="56"/>
        <v>8</v>
      </c>
      <c r="J73" s="43">
        <f t="shared" si="56"/>
        <v>8</v>
      </c>
      <c r="K73" s="43">
        <f t="shared" si="56"/>
        <v>8</v>
      </c>
      <c r="L73" s="43">
        <f t="shared" si="56"/>
        <v>8</v>
      </c>
      <c r="M73" s="43">
        <f t="shared" si="56"/>
        <v>8</v>
      </c>
      <c r="N73" s="43">
        <f t="shared" si="56"/>
        <v>8</v>
      </c>
      <c r="O73" s="43">
        <f t="shared" si="56"/>
        <v>8</v>
      </c>
      <c r="P73" s="43">
        <f t="shared" si="56"/>
        <v>8</v>
      </c>
      <c r="Q73" s="43">
        <f t="shared" si="56"/>
        <v>8</v>
      </c>
      <c r="R73" s="43">
        <f t="shared" si="56"/>
        <v>8</v>
      </c>
      <c r="S73" s="43">
        <f t="shared" si="56"/>
        <v>8</v>
      </c>
      <c r="T73" s="43">
        <f t="shared" si="56"/>
        <v>8</v>
      </c>
      <c r="U73" s="43">
        <f t="shared" si="56"/>
        <v>8</v>
      </c>
      <c r="V73" s="43">
        <f t="shared" si="56"/>
        <v>8</v>
      </c>
      <c r="W73" s="43">
        <f t="shared" ref="W73" si="57">W26*(1-W37)</f>
        <v>8</v>
      </c>
    </row>
    <row r="74" spans="1:23" x14ac:dyDescent="0.3">
      <c r="A74" s="14" t="s">
        <v>468</v>
      </c>
      <c r="B74" s="27">
        <f>B27*MAX(0,B28-'01_Số liệu gốc'!$C$69)</f>
        <v>818.923</v>
      </c>
      <c r="C74" s="27">
        <f>C27*MAX(0,C28-'01_Số liệu gốc'!$C$69)</f>
        <v>711.923</v>
      </c>
      <c r="D74" s="27">
        <f>D27*MAX(0,D28-'01_Số liệu gốc'!$C$69)</f>
        <v>711.923</v>
      </c>
      <c r="F74" s="38" t="s">
        <v>469</v>
      </c>
      <c r="H74" s="27">
        <f>H27*MAX(0,H28-'01_Số liệu gốc'!$C$69)</f>
        <v>711.923</v>
      </c>
      <c r="I74" s="27">
        <f>I27*MAX(0,I28-'01_Số liệu gốc'!$C$69)</f>
        <v>0</v>
      </c>
      <c r="J74" s="27">
        <f>J27*MAX(0,J28-'01_Số liệu gốc'!$C$69)</f>
        <v>711.923</v>
      </c>
      <c r="K74" s="27">
        <f>K27*MAX(0,K28-'01_Số liệu gốc'!$C$69)</f>
        <v>711.923</v>
      </c>
      <c r="L74" s="27">
        <f>L27*MAX(0,L28-'01_Số liệu gốc'!$C$69)</f>
        <v>711.923</v>
      </c>
      <c r="M74" s="27">
        <f>M27*MAX(0,M28-'01_Số liệu gốc'!$C$69)</f>
        <v>711.923</v>
      </c>
      <c r="N74" s="27">
        <f>N27*MAX(0,N28-'01_Số liệu gốc'!$C$69)</f>
        <v>711.923</v>
      </c>
      <c r="O74" s="27">
        <f>O27*MAX(0,O28-'01_Số liệu gốc'!$C$69)</f>
        <v>711.923</v>
      </c>
      <c r="P74" s="27">
        <f>P27*MAX(0,P28-'01_Số liệu gốc'!$C$69)</f>
        <v>711.923</v>
      </c>
      <c r="Q74" s="27">
        <f>Q27*MAX(0,Q28-'01_Số liệu gốc'!$C$69)</f>
        <v>711.923</v>
      </c>
      <c r="R74" s="27">
        <f>R27*MAX(0,R28-'01_Số liệu gốc'!$C$69)</f>
        <v>711.923</v>
      </c>
      <c r="S74" s="27">
        <f>S27*MAX(0,S28-'01_Số liệu gốc'!$C$69)</f>
        <v>711.923</v>
      </c>
      <c r="T74" s="27">
        <f>T27*MAX(0,T28-'01_Số liệu gốc'!$C$69)</f>
        <v>711.923</v>
      </c>
      <c r="U74" s="27">
        <f>U27*MAX(0,U28-'01_Số liệu gốc'!$C$69)</f>
        <v>711.923</v>
      </c>
      <c r="V74" s="27">
        <f>V27*MAX(0,V28-'01_Số liệu gốc'!$C$69)</f>
        <v>711.923</v>
      </c>
      <c r="W74" s="27">
        <f>W27*MAX(0,W28-'01_Số liệu gốc'!$C$69)</f>
        <v>711.923</v>
      </c>
    </row>
    <row r="75" spans="1:23" x14ac:dyDescent="0.3">
      <c r="A75" s="14" t="s">
        <v>871</v>
      </c>
      <c r="B75" s="57">
        <f>IF(B27=0,0,B271/B28)</f>
        <v>2.3529411764705882E-2</v>
      </c>
      <c r="C75" s="57">
        <f>IF(C27=0,0,C271/C28)</f>
        <v>0.12113055181695828</v>
      </c>
      <c r="D75" s="57">
        <f>IF(D27=0,0,D271/D28)</f>
        <v>0.1480484522207268</v>
      </c>
      <c r="H75" s="57">
        <f>IF(H27=0,0,H271/H28)</f>
        <v>0.12113055181695828</v>
      </c>
      <c r="I75" s="57">
        <f t="shared" ref="I75:W75" si="58">IF(I27=0,0,I271/I28)</f>
        <v>0</v>
      </c>
      <c r="J75" s="57">
        <f t="shared" si="58"/>
        <v>0.12113055181695828</v>
      </c>
      <c r="K75" s="57">
        <f t="shared" si="58"/>
        <v>0.12113055181695828</v>
      </c>
      <c r="L75" s="57">
        <f t="shared" si="58"/>
        <v>0.12113055181695828</v>
      </c>
      <c r="M75" s="57">
        <f t="shared" si="58"/>
        <v>0.12113055181695828</v>
      </c>
      <c r="N75" s="57">
        <f t="shared" si="58"/>
        <v>0.12113055181695828</v>
      </c>
      <c r="O75" s="57">
        <f t="shared" si="58"/>
        <v>0.12113055181695828</v>
      </c>
      <c r="P75" s="57">
        <f t="shared" si="58"/>
        <v>0.12113055181695828</v>
      </c>
      <c r="Q75" s="57">
        <f t="shared" si="58"/>
        <v>0.12113055181695828</v>
      </c>
      <c r="R75" s="57">
        <f t="shared" si="58"/>
        <v>0.12113055181695828</v>
      </c>
      <c r="S75" s="57">
        <f t="shared" si="58"/>
        <v>0.12113055181695828</v>
      </c>
      <c r="T75" s="57">
        <f t="shared" si="58"/>
        <v>0.12113055181695828</v>
      </c>
      <c r="U75" s="57">
        <f t="shared" si="58"/>
        <v>0.12113055181695828</v>
      </c>
      <c r="V75" s="57">
        <f t="shared" si="58"/>
        <v>0.12113055181695828</v>
      </c>
      <c r="W75" s="57">
        <f t="shared" si="58"/>
        <v>0.12113055181695828</v>
      </c>
    </row>
    <row r="76" spans="1:23" x14ac:dyDescent="0.3">
      <c r="A76" s="14" t="s">
        <v>470</v>
      </c>
      <c r="B76" s="69">
        <f>(1-(1+B45)^-20)/B45</f>
        <v>7.2770558932781046</v>
      </c>
      <c r="C76" s="69">
        <f>(1-(1+C45)^-20)/C45</f>
        <v>7.2770558932781046</v>
      </c>
      <c r="D76" s="69">
        <f>(1-(1+D45)^-20)/D45</f>
        <v>7.2770558932781046</v>
      </c>
      <c r="H76" s="69">
        <f t="shared" ref="H76:V76" si="59">(1-(1+H45)^-20)/H45</f>
        <v>7.2770558932781046</v>
      </c>
      <c r="I76" s="69">
        <f t="shared" si="59"/>
        <v>7.2770558932781046</v>
      </c>
      <c r="J76" s="69">
        <f t="shared" si="59"/>
        <v>7.2770558932781046</v>
      </c>
      <c r="K76" s="69">
        <f t="shared" si="59"/>
        <v>7.2770558932781046</v>
      </c>
      <c r="L76" s="69">
        <f t="shared" si="59"/>
        <v>7.2770558932781046</v>
      </c>
      <c r="M76" s="69">
        <f t="shared" si="59"/>
        <v>6.9827442353889548</v>
      </c>
      <c r="N76" s="69">
        <f t="shared" si="59"/>
        <v>7.2770558932781046</v>
      </c>
      <c r="O76" s="69">
        <f t="shared" si="59"/>
        <v>7.2770558932781046</v>
      </c>
      <c r="P76" s="69">
        <f t="shared" si="59"/>
        <v>7.2770558932781046</v>
      </c>
      <c r="Q76" s="69">
        <f t="shared" si="59"/>
        <v>7.2770558932781046</v>
      </c>
      <c r="R76" s="69">
        <f t="shared" si="59"/>
        <v>7.2770558932781046</v>
      </c>
      <c r="S76" s="69">
        <f t="shared" si="59"/>
        <v>7.2770558932781046</v>
      </c>
      <c r="T76" s="69">
        <f t="shared" si="59"/>
        <v>7.2770558932781046</v>
      </c>
      <c r="U76" s="69">
        <f t="shared" si="59"/>
        <v>7.2770558932781046</v>
      </c>
      <c r="V76" s="69">
        <f t="shared" si="59"/>
        <v>7.2770558932781046</v>
      </c>
      <c r="W76" s="69">
        <f t="shared" ref="W76" si="60">(1-(1+W45)^-20)/W45</f>
        <v>7.2770558932781046</v>
      </c>
    </row>
    <row r="78" spans="1:23" x14ac:dyDescent="0.3">
      <c r="A78" s="51" t="s">
        <v>471</v>
      </c>
      <c r="B78" s="52"/>
      <c r="C78" s="52"/>
      <c r="D78" s="52"/>
      <c r="E78" s="52"/>
      <c r="F78" s="52"/>
      <c r="G78" s="52"/>
      <c r="H78" s="52"/>
      <c r="I78" s="52"/>
      <c r="J78" s="52"/>
      <c r="K78" s="52"/>
      <c r="L78" s="52"/>
      <c r="M78" s="52"/>
      <c r="N78" s="52"/>
      <c r="O78" s="52"/>
      <c r="P78" s="52"/>
      <c r="Q78" s="52"/>
      <c r="R78" s="52"/>
      <c r="S78" s="52"/>
      <c r="T78" s="52"/>
      <c r="U78" s="52"/>
      <c r="V78" s="52"/>
      <c r="W78" s="52"/>
    </row>
    <row r="79" spans="1:23" x14ac:dyDescent="0.3">
      <c r="A79" s="51" t="s">
        <v>802</v>
      </c>
      <c r="B79" s="52"/>
      <c r="C79" s="52"/>
      <c r="D79" s="52"/>
      <c r="E79" s="52"/>
      <c r="F79" s="52"/>
      <c r="G79" s="52"/>
      <c r="H79" s="52"/>
      <c r="I79" s="52"/>
      <c r="J79" s="52"/>
      <c r="K79" s="52"/>
      <c r="L79" s="52"/>
      <c r="M79" s="52"/>
      <c r="N79" s="52"/>
      <c r="O79" s="52"/>
      <c r="P79" s="52"/>
      <c r="Q79" s="52"/>
      <c r="R79" s="52"/>
      <c r="S79" s="52"/>
      <c r="T79" s="52"/>
      <c r="U79" s="52"/>
      <c r="V79" s="52"/>
      <c r="W79" s="52"/>
    </row>
    <row r="80" spans="1:23" x14ac:dyDescent="0.3">
      <c r="A80" s="14" t="s">
        <v>472</v>
      </c>
      <c r="B80" s="43">
        <f>B6*(1+B11)^0</f>
        <v>2200</v>
      </c>
      <c r="C80" s="43">
        <f>C6*(1+C11)^0</f>
        <v>2450</v>
      </c>
      <c r="D80" s="43">
        <f>D6*(1+D11)^0</f>
        <v>2700</v>
      </c>
      <c r="H80" s="43">
        <f t="shared" ref="H80:V80" si="61">H6*(1+H11)^0</f>
        <v>2450</v>
      </c>
      <c r="I80" s="43">
        <f t="shared" si="61"/>
        <v>2450</v>
      </c>
      <c r="J80" s="43">
        <f t="shared" si="61"/>
        <v>2450</v>
      </c>
      <c r="K80" s="43">
        <f t="shared" si="61"/>
        <v>2450</v>
      </c>
      <c r="L80" s="43">
        <f t="shared" si="61"/>
        <v>2450</v>
      </c>
      <c r="M80" s="43">
        <f t="shared" si="61"/>
        <v>2450</v>
      </c>
      <c r="N80" s="43">
        <f t="shared" si="61"/>
        <v>2450</v>
      </c>
      <c r="O80" s="43">
        <f t="shared" si="61"/>
        <v>2450</v>
      </c>
      <c r="P80" s="43">
        <f t="shared" si="61"/>
        <v>2166.7860000000001</v>
      </c>
      <c r="Q80" s="43">
        <f t="shared" si="61"/>
        <v>2710.1229999999996</v>
      </c>
      <c r="R80" s="43">
        <f t="shared" si="61"/>
        <v>2450</v>
      </c>
      <c r="S80" s="43">
        <f t="shared" si="61"/>
        <v>2450</v>
      </c>
      <c r="T80" s="43">
        <f t="shared" si="61"/>
        <v>2450</v>
      </c>
      <c r="U80" s="43">
        <f t="shared" si="61"/>
        <v>2450</v>
      </c>
      <c r="V80" s="43">
        <f t="shared" si="61"/>
        <v>2450</v>
      </c>
      <c r="W80" s="43">
        <f t="shared" ref="W80" si="62">W6*(1+W11)^0</f>
        <v>2450</v>
      </c>
    </row>
    <row r="81" spans="1:23" x14ac:dyDescent="0.3">
      <c r="A81" s="14" t="s">
        <v>473</v>
      </c>
      <c r="B81" s="43">
        <f>B40*B7+(B53-B9)*B80-B42*(1+B35)^0</f>
        <v>146.4191506005053</v>
      </c>
      <c r="C81" s="43">
        <f>C40*C7+(C53-C9)*C80-C42*(1+C35)^0</f>
        <v>214.78496316874458</v>
      </c>
      <c r="D81" s="43">
        <f>D40*D7+(D53-D9)*D80-D42*(1+D35)^0</f>
        <v>284.15077573698386</v>
      </c>
      <c r="H81" s="43">
        <f t="shared" ref="H81:V81" si="63">H40*H7+(H53-H9)*H80-H42*(1+H35)^0</f>
        <v>214.78496316874458</v>
      </c>
      <c r="I81" s="43">
        <f t="shared" si="63"/>
        <v>214.78496316874458</v>
      </c>
      <c r="J81" s="43">
        <f t="shared" si="63"/>
        <v>214.78496316874458</v>
      </c>
      <c r="K81" s="43">
        <f t="shared" si="63"/>
        <v>214.78496316874458</v>
      </c>
      <c r="L81" s="43">
        <f t="shared" si="63"/>
        <v>214.78496316874458</v>
      </c>
      <c r="M81" s="43">
        <f t="shared" si="63"/>
        <v>214.78496316874458</v>
      </c>
      <c r="N81" s="43">
        <f t="shared" si="63"/>
        <v>214.78496316874458</v>
      </c>
      <c r="O81" s="43">
        <f t="shared" si="63"/>
        <v>214.78496316874458</v>
      </c>
      <c r="P81" s="43">
        <f t="shared" si="63"/>
        <v>192.84628620593935</v>
      </c>
      <c r="Q81" s="43">
        <f t="shared" si="63"/>
        <v>234.93493621949693</v>
      </c>
      <c r="R81" s="43">
        <f t="shared" si="63"/>
        <v>205.80605901436317</v>
      </c>
      <c r="S81" s="43">
        <f t="shared" si="63"/>
        <v>214.78496316874458</v>
      </c>
      <c r="T81" s="43">
        <f t="shared" si="63"/>
        <v>214.78496316874458</v>
      </c>
      <c r="U81" s="43">
        <f t="shared" si="63"/>
        <v>230.32775210865657</v>
      </c>
      <c r="V81" s="43">
        <f t="shared" si="63"/>
        <v>214.78496316874458</v>
      </c>
      <c r="W81" s="43">
        <f t="shared" ref="W81" si="64">W40*W7+(W53-W9)*W80-W42*(1+W35)^0</f>
        <v>216.72581509887971</v>
      </c>
    </row>
    <row r="82" spans="1:23" x14ac:dyDescent="0.3">
      <c r="A82" s="14" t="s">
        <v>474</v>
      </c>
      <c r="B82" s="43">
        <f>B81*(1-B10)</f>
        <v>133.24142704645982</v>
      </c>
      <c r="C82" s="43">
        <f>C81*(1-C10)</f>
        <v>195.45431648355756</v>
      </c>
      <c r="D82" s="43">
        <f>D81*(1-D10)</f>
        <v>258.57720592065533</v>
      </c>
      <c r="H82" s="43">
        <f t="shared" ref="H82:V82" si="65">H81*(1-H10)</f>
        <v>195.45431648355756</v>
      </c>
      <c r="I82" s="43">
        <f t="shared" si="65"/>
        <v>195.45431648355756</v>
      </c>
      <c r="J82" s="43">
        <f t="shared" si="65"/>
        <v>195.45431648355756</v>
      </c>
      <c r="K82" s="43">
        <f t="shared" si="65"/>
        <v>195.45431648355756</v>
      </c>
      <c r="L82" s="43">
        <f t="shared" si="65"/>
        <v>195.45431648355756</v>
      </c>
      <c r="M82" s="43">
        <f t="shared" si="65"/>
        <v>195.45431648355756</v>
      </c>
      <c r="N82" s="43">
        <f t="shared" si="65"/>
        <v>195.45431648355756</v>
      </c>
      <c r="O82" s="43">
        <f t="shared" si="65"/>
        <v>195.45431648355756</v>
      </c>
      <c r="P82" s="43">
        <f t="shared" si="65"/>
        <v>175.49012044740482</v>
      </c>
      <c r="Q82" s="43">
        <f t="shared" si="65"/>
        <v>213.79079195974222</v>
      </c>
      <c r="R82" s="43">
        <f t="shared" si="65"/>
        <v>187.2835137030705</v>
      </c>
      <c r="S82" s="43">
        <f t="shared" si="65"/>
        <v>195.45431648355756</v>
      </c>
      <c r="T82" s="43">
        <f t="shared" si="65"/>
        <v>195.45431648355756</v>
      </c>
      <c r="U82" s="43">
        <f t="shared" si="65"/>
        <v>209.59825441887747</v>
      </c>
      <c r="V82" s="43">
        <f t="shared" si="65"/>
        <v>195.45431648355756</v>
      </c>
      <c r="W82" s="43">
        <f t="shared" ref="W82" si="66">W81*(1-W10)</f>
        <v>197.22049173998053</v>
      </c>
    </row>
    <row r="83" spans="1:23" x14ac:dyDescent="0.3">
      <c r="A83" s="14" t="s">
        <v>803</v>
      </c>
      <c r="B83" s="43">
        <f>(B46-B47)*(B80+B7)+B48*IF((B80+B7-'02_Giả định'!$B$30)&lt;0,B49,1)*(B80+B7-'02_Giả định'!$B$30)</f>
        <v>0</v>
      </c>
      <c r="C83" s="43">
        <f>(C46-C47)*(C80+C7)+C48*IF((C80+C7-'02_Giả định'!$B$30)&lt;0,C49,1)*(C80+C7-'02_Giả định'!$B$30)</f>
        <v>15.389279999999996</v>
      </c>
      <c r="D83" s="43">
        <f>(D46-D47)*(D80+D7)+D48*IF((D80+D7-'02_Giả định'!$B$30)&lt;0,D49,1)*(D80+D7-'02_Giả định'!$B$30)</f>
        <v>31.019280000000002</v>
      </c>
      <c r="H83" s="43">
        <f>(H46-H47)*(H80+H7)+H48*IF((H80+H7-'02_Giả định'!$B$30)&lt;0,H49,1)*(H80+H7-'02_Giả định'!$B$30)</f>
        <v>15.389279999999996</v>
      </c>
      <c r="I83" s="43">
        <f>(I46-I47)*(I80+I7)+I48*IF((I80+I7-'02_Giả định'!$B$30)&lt;0,I49,1)*(I80+I7-'02_Giả định'!$B$30)</f>
        <v>15.389279999999996</v>
      </c>
      <c r="J83" s="43">
        <f>(J46-J47)*(J80+J7)+J48*IF((J80+J7-'02_Giả định'!$B$30)&lt;0,J49,1)*(J80+J7-'02_Giả định'!$B$30)</f>
        <v>15.389279999999996</v>
      </c>
      <c r="K83" s="43">
        <f>(K46-K47)*(K80+K7)+K48*IF((K80+K7-'02_Giả định'!$B$30)&lt;0,K49,1)*(K80+K7-'02_Giả định'!$B$30)</f>
        <v>15.389279999999996</v>
      </c>
      <c r="L83" s="43">
        <f>(L46-L47)*(L80+L7)+L48*IF((L80+L7-'02_Giả định'!$B$30)&lt;0,L49,1)*(L80+L7-'02_Giả định'!$B$30)</f>
        <v>15.389279999999996</v>
      </c>
      <c r="M83" s="43">
        <f>(M46-M47)*(M80+M7)+M48*IF((M80+M7-'02_Giả định'!$B$30)&lt;0,M49,1)*(M80+M7-'02_Giả định'!$B$30)</f>
        <v>15.389279999999996</v>
      </c>
      <c r="N83" s="43">
        <f>(N46-N47)*(N80+N7)+N48*IF((N80+N7-'02_Giả định'!$B$30)&lt;0,N49,1)*(N80+N7-'02_Giả định'!$B$30)</f>
        <v>15.389279999999996</v>
      </c>
      <c r="O83" s="43">
        <f>(O46-O47)*(O80+O7)+O48*IF((O80+O7-'02_Giả định'!$B$30)&lt;0,O49,1)*(O80+O7-'02_Giả định'!$B$30)</f>
        <v>15.389279999999996</v>
      </c>
      <c r="P83" s="43">
        <f>(P46-P47)*(P80+P7)+P48*IF((P80+P7-'02_Giả định'!$B$30)&lt;0,P49,1)*(P80+P7-'02_Giả định'!$B$30)</f>
        <v>3.2110779999999997</v>
      </c>
      <c r="Q83" s="43">
        <f>(Q46-Q47)*(Q80+Q7)+Q48*IF((Q80+Q7-'02_Giả định'!$B$30)&lt;0,Q49,1)*(Q80+Q7-'02_Giả định'!$B$30)</f>
        <v>26.574568999999979</v>
      </c>
      <c r="R83" s="43">
        <f>(R46-R47)*(R80+R7)+R48*IF((R80+R7-'02_Giả định'!$B$30)&lt;0,R49,1)*(R80+R7-'02_Giả định'!$B$30)</f>
        <v>15.389279999999996</v>
      </c>
      <c r="S83" s="43">
        <f>(S46-S47)*(S80+S7)+S48*IF((S80+S7-'02_Giả định'!$B$30)&lt;0,S49,1)*(S80+S7-'02_Giả định'!$B$30)</f>
        <v>15.389279999999996</v>
      </c>
      <c r="T83" s="43">
        <f>(T46-T47)*(T80+T7)+T48*IF((T80+T7-'02_Giả định'!$B$30)&lt;0,T49,1)*(T80+T7-'02_Giả định'!$B$30)</f>
        <v>15.389279999999996</v>
      </c>
      <c r="U83" s="43">
        <f>(U46-U47)*(U80+U7)+U48*IF((U80+U7-'02_Giả định'!$B$30)&lt;0,U49,1)*(U80+U7-'02_Giả định'!$B$30)</f>
        <v>15.389279999999996</v>
      </c>
      <c r="V83" s="43">
        <f>(V46-V47)*(V80+V7)+V48*IF((V80+V7-'02_Giả định'!$B$30)&lt;0,V49,1)*(V80+V7-'02_Giả định'!$B$30)</f>
        <v>15.389279999999996</v>
      </c>
      <c r="W83" s="43">
        <f>(W46-W47)*(W80+W7)+W48*IF((W80+W7-'02_Giả định'!$B$30)&lt;0,W49,1)*(W80+W7-'02_Giả định'!$B$30)</f>
        <v>15.389279999999996</v>
      </c>
    </row>
    <row r="84" spans="1:23" x14ac:dyDescent="0.3">
      <c r="A84" s="9" t="s">
        <v>475</v>
      </c>
      <c r="B84" s="67">
        <f>B82*(1-B36)-B83</f>
        <v>119.91728434181384</v>
      </c>
      <c r="C84" s="67">
        <f>C82*(1-C36)-C83</f>
        <v>160.51960483520182</v>
      </c>
      <c r="D84" s="67">
        <f>D82*(1-D36)-D83</f>
        <v>201.70020532858979</v>
      </c>
      <c r="H84" s="67">
        <f t="shared" ref="H84:V84" si="67">H82*(1-H36)-H83</f>
        <v>160.51960483520182</v>
      </c>
      <c r="I84" s="67">
        <f t="shared" si="67"/>
        <v>160.51960483520182</v>
      </c>
      <c r="J84" s="67">
        <f t="shared" si="67"/>
        <v>160.51960483520182</v>
      </c>
      <c r="K84" s="67">
        <f t="shared" si="67"/>
        <v>160.51960483520182</v>
      </c>
      <c r="L84" s="67">
        <f t="shared" si="67"/>
        <v>160.51960483520182</v>
      </c>
      <c r="M84" s="67">
        <f t="shared" si="67"/>
        <v>160.51960483520182</v>
      </c>
      <c r="N84" s="67">
        <f t="shared" si="67"/>
        <v>160.51960483520182</v>
      </c>
      <c r="O84" s="67">
        <f t="shared" si="67"/>
        <v>160.51960483520182</v>
      </c>
      <c r="P84" s="67">
        <f t="shared" si="67"/>
        <v>154.73003040266437</v>
      </c>
      <c r="Q84" s="67">
        <f t="shared" si="67"/>
        <v>165.83714376376804</v>
      </c>
      <c r="R84" s="67">
        <f t="shared" si="67"/>
        <v>153.16588233276346</v>
      </c>
      <c r="S84" s="67">
        <f t="shared" si="67"/>
        <v>160.51960483520182</v>
      </c>
      <c r="T84" s="67">
        <f t="shared" si="67"/>
        <v>160.51960483520182</v>
      </c>
      <c r="U84" s="67">
        <f t="shared" si="67"/>
        <v>173.24914897698974</v>
      </c>
      <c r="V84" s="67">
        <f t="shared" si="67"/>
        <v>160.51960483520182</v>
      </c>
      <c r="W84" s="67">
        <f t="shared" ref="W84" si="68">W82*(1-W36)-W83</f>
        <v>162.1091625659825</v>
      </c>
    </row>
    <row r="85" spans="1:23" x14ac:dyDescent="0.3">
      <c r="A85" s="14" t="s">
        <v>804</v>
      </c>
      <c r="B85" s="43">
        <f>B84/(1+B44)^0.5</f>
        <v>113.70577693220696</v>
      </c>
      <c r="C85" s="43">
        <f>C84/(1+C44)^0.5</f>
        <v>152.20496762261314</v>
      </c>
      <c r="D85" s="43">
        <f>D84/(1+D44)^0.5</f>
        <v>191.25248441167352</v>
      </c>
      <c r="H85" s="43">
        <f t="shared" ref="H85:W85" si="69">H84/(1+H44)^0.5</f>
        <v>152.20496762261314</v>
      </c>
      <c r="I85" s="43">
        <f t="shared" si="69"/>
        <v>152.20496762261314</v>
      </c>
      <c r="J85" s="43">
        <f t="shared" si="69"/>
        <v>152.20496762261314</v>
      </c>
      <c r="K85" s="43">
        <f t="shared" si="69"/>
        <v>152.20496762261314</v>
      </c>
      <c r="L85" s="43">
        <f t="shared" si="69"/>
        <v>152.20496762261314</v>
      </c>
      <c r="M85" s="43">
        <f t="shared" si="69"/>
        <v>151.8123769541414</v>
      </c>
      <c r="N85" s="43">
        <f t="shared" si="69"/>
        <v>151.39317304650581</v>
      </c>
      <c r="O85" s="43">
        <f t="shared" si="69"/>
        <v>152.20496762261314</v>
      </c>
      <c r="P85" s="43">
        <f t="shared" si="69"/>
        <v>146.71528310739293</v>
      </c>
      <c r="Q85" s="43">
        <f t="shared" si="69"/>
        <v>157.24706725452623</v>
      </c>
      <c r="R85" s="43">
        <f t="shared" si="69"/>
        <v>145.23215519550544</v>
      </c>
      <c r="S85" s="43">
        <f t="shared" si="69"/>
        <v>152.20496762261314</v>
      </c>
      <c r="T85" s="43">
        <f t="shared" si="69"/>
        <v>152.20496762261314</v>
      </c>
      <c r="U85" s="43">
        <f t="shared" si="69"/>
        <v>164.27514344905251</v>
      </c>
      <c r="V85" s="43">
        <f t="shared" si="69"/>
        <v>152.64753273413413</v>
      </c>
      <c r="W85" s="43">
        <f t="shared" si="69"/>
        <v>153.71218901900355</v>
      </c>
    </row>
    <row r="86" spans="1:23" x14ac:dyDescent="0.3">
      <c r="A86" s="14" t="s">
        <v>476</v>
      </c>
      <c r="B86" s="43">
        <f>B66</f>
        <v>780.67899999999997</v>
      </c>
      <c r="C86" s="43">
        <f>C66</f>
        <v>704.67899999999997</v>
      </c>
      <c r="D86" s="43">
        <f>D66</f>
        <v>704.67899999999997</v>
      </c>
      <c r="H86" s="43">
        <f t="shared" ref="H86:V86" si="70">H66</f>
        <v>704.67899999999997</v>
      </c>
      <c r="I86" s="43">
        <f t="shared" si="70"/>
        <v>704.67899999999997</v>
      </c>
      <c r="J86" s="43">
        <f t="shared" si="70"/>
        <v>704.67899999999997</v>
      </c>
      <c r="K86" s="43">
        <f t="shared" si="70"/>
        <v>704.67899999999997</v>
      </c>
      <c r="L86" s="43">
        <f t="shared" si="70"/>
        <v>704.67899999999997</v>
      </c>
      <c r="M86" s="43">
        <f t="shared" si="70"/>
        <v>704.67899999999997</v>
      </c>
      <c r="N86" s="43">
        <f t="shared" si="70"/>
        <v>704.67899999999997</v>
      </c>
      <c r="O86" s="43">
        <f t="shared" si="70"/>
        <v>704.67899999999997</v>
      </c>
      <c r="P86" s="43">
        <f t="shared" si="70"/>
        <v>704.67899999999997</v>
      </c>
      <c r="Q86" s="43">
        <f t="shared" si="70"/>
        <v>704.67899999999997</v>
      </c>
      <c r="R86" s="43">
        <f t="shared" si="70"/>
        <v>704.67899999999997</v>
      </c>
      <c r="S86" s="43">
        <f t="shared" si="70"/>
        <v>704.67899999999997</v>
      </c>
      <c r="T86" s="43">
        <f t="shared" si="70"/>
        <v>704.67899999999997</v>
      </c>
      <c r="U86" s="43">
        <f t="shared" si="70"/>
        <v>704.67899999999997</v>
      </c>
      <c r="V86" s="43">
        <f t="shared" si="70"/>
        <v>704.67899999999997</v>
      </c>
      <c r="W86" s="43">
        <f t="shared" ref="W86" si="71">W66</f>
        <v>704.67899999999997</v>
      </c>
    </row>
    <row r="87" spans="1:23" x14ac:dyDescent="0.3">
      <c r="A87" s="14" t="s">
        <v>477</v>
      </c>
      <c r="B87" s="43">
        <f>B74*(IF(B29-2027=1,0.5,0)+IF(B29-2027=2,0.5,0)+IF(AND(B29=2028,2027=2027),0.5,0))</f>
        <v>0</v>
      </c>
      <c r="C87" s="43">
        <f>C74*(IF(C29-2027=1,0.5,0)+IF(C29-2027=2,0.5,0)+IF(AND(C29=2028,2027=2027),0.5,0))</f>
        <v>0</v>
      </c>
      <c r="D87" s="43">
        <f>D74*(IF(D29-2027=1,0.5,0)+IF(D29-2027=2,0.5,0)+IF(AND(D29=2028,2027=2027),0.5,0))</f>
        <v>0</v>
      </c>
      <c r="H87" s="43">
        <f t="shared" ref="H87:V87" si="72">H74*(IF(H29-2027=1,0.5,0)+IF(H29-2027=2,0.5,0)+IF(AND(H29=2028,2027=2027),0.5,0))</f>
        <v>0</v>
      </c>
      <c r="I87" s="43">
        <f t="shared" si="72"/>
        <v>0</v>
      </c>
      <c r="J87" s="43">
        <f t="shared" si="72"/>
        <v>711.923</v>
      </c>
      <c r="K87" s="43">
        <f t="shared" si="72"/>
        <v>0</v>
      </c>
      <c r="L87" s="43">
        <f t="shared" si="72"/>
        <v>0</v>
      </c>
      <c r="M87" s="43">
        <f t="shared" si="72"/>
        <v>0</v>
      </c>
      <c r="N87" s="43">
        <f t="shared" si="72"/>
        <v>0</v>
      </c>
      <c r="O87" s="43">
        <f t="shared" si="72"/>
        <v>0</v>
      </c>
      <c r="P87" s="43">
        <f t="shared" si="72"/>
        <v>0</v>
      </c>
      <c r="Q87" s="43">
        <f t="shared" si="72"/>
        <v>0</v>
      </c>
      <c r="R87" s="43">
        <f t="shared" si="72"/>
        <v>0</v>
      </c>
      <c r="S87" s="43">
        <f t="shared" si="72"/>
        <v>0</v>
      </c>
      <c r="T87" s="43">
        <f t="shared" si="72"/>
        <v>0</v>
      </c>
      <c r="U87" s="43">
        <f t="shared" si="72"/>
        <v>0</v>
      </c>
      <c r="V87" s="43">
        <f t="shared" si="72"/>
        <v>0</v>
      </c>
      <c r="W87" s="43">
        <f t="shared" ref="W87" si="73">W74*(IF(W29-2027=1,0.5,0)+IF(W29-2027=2,0.5,0)+IF(AND(W29=2028,2027=2027),0.5,0))</f>
        <v>0</v>
      </c>
    </row>
    <row r="88" spans="1:23" x14ac:dyDescent="0.3">
      <c r="A88" s="14" t="s">
        <v>478</v>
      </c>
      <c r="B88" s="43">
        <f>B86+B87</f>
        <v>780.67899999999997</v>
      </c>
      <c r="C88" s="43">
        <f>C86+C87</f>
        <v>704.67899999999997</v>
      </c>
      <c r="D88" s="43">
        <f>D86+D87</f>
        <v>704.67899999999997</v>
      </c>
      <c r="H88" s="43">
        <f t="shared" ref="H88:V88" si="74">H86+H87</f>
        <v>704.67899999999997</v>
      </c>
      <c r="I88" s="43">
        <f t="shared" si="74"/>
        <v>704.67899999999997</v>
      </c>
      <c r="J88" s="43">
        <f t="shared" si="74"/>
        <v>1416.6019999999999</v>
      </c>
      <c r="K88" s="43">
        <f t="shared" si="74"/>
        <v>704.67899999999997</v>
      </c>
      <c r="L88" s="43">
        <f t="shared" si="74"/>
        <v>704.67899999999997</v>
      </c>
      <c r="M88" s="43">
        <f t="shared" si="74"/>
        <v>704.67899999999997</v>
      </c>
      <c r="N88" s="43">
        <f t="shared" si="74"/>
        <v>704.67899999999997</v>
      </c>
      <c r="O88" s="43">
        <f t="shared" si="74"/>
        <v>704.67899999999997</v>
      </c>
      <c r="P88" s="43">
        <f t="shared" si="74"/>
        <v>704.67899999999997</v>
      </c>
      <c r="Q88" s="43">
        <f t="shared" si="74"/>
        <v>704.67899999999997</v>
      </c>
      <c r="R88" s="43">
        <f t="shared" si="74"/>
        <v>704.67899999999997</v>
      </c>
      <c r="S88" s="43">
        <f t="shared" si="74"/>
        <v>704.67899999999997</v>
      </c>
      <c r="T88" s="43">
        <f t="shared" si="74"/>
        <v>704.67899999999997</v>
      </c>
      <c r="U88" s="43">
        <f t="shared" si="74"/>
        <v>704.67899999999997</v>
      </c>
      <c r="V88" s="43">
        <f t="shared" si="74"/>
        <v>704.67899999999997</v>
      </c>
      <c r="W88" s="43">
        <f t="shared" ref="W88" si="75">W86+W87</f>
        <v>704.67899999999997</v>
      </c>
    </row>
    <row r="89" spans="1:23" x14ac:dyDescent="0.3">
      <c r="A89" s="14" t="s">
        <v>479</v>
      </c>
      <c r="B89" s="43">
        <f>B70*B20</f>
        <v>4.1099999999999968</v>
      </c>
      <c r="C89" s="43">
        <f>C70*C20</f>
        <v>27.65</v>
      </c>
      <c r="D89" s="43">
        <f>D70*D20</f>
        <v>45.779999999999994</v>
      </c>
      <c r="H89" s="43">
        <f t="shared" ref="H89:V89" si="76">H70*H20</f>
        <v>27.65</v>
      </c>
      <c r="I89" s="43">
        <f t="shared" si="76"/>
        <v>27.65</v>
      </c>
      <c r="J89" s="43">
        <f t="shared" si="76"/>
        <v>27.65</v>
      </c>
      <c r="K89" s="43">
        <f t="shared" si="76"/>
        <v>11.899999999999999</v>
      </c>
      <c r="L89" s="43">
        <f t="shared" si="76"/>
        <v>17.649999999999999</v>
      </c>
      <c r="M89" s="43">
        <f t="shared" si="76"/>
        <v>27.65</v>
      </c>
      <c r="N89" s="43">
        <f t="shared" si="76"/>
        <v>27.65</v>
      </c>
      <c r="O89" s="43">
        <f t="shared" si="76"/>
        <v>27.65</v>
      </c>
      <c r="P89" s="43">
        <f t="shared" si="76"/>
        <v>27.65</v>
      </c>
      <c r="Q89" s="43">
        <f t="shared" si="76"/>
        <v>27.65</v>
      </c>
      <c r="R89" s="43">
        <f t="shared" si="76"/>
        <v>27.65</v>
      </c>
      <c r="S89" s="43">
        <f t="shared" si="76"/>
        <v>27.65</v>
      </c>
      <c r="T89" s="43">
        <f t="shared" si="76"/>
        <v>27.65</v>
      </c>
      <c r="U89" s="43">
        <f t="shared" si="76"/>
        <v>27.65</v>
      </c>
      <c r="V89" s="43">
        <f t="shared" si="76"/>
        <v>27.65</v>
      </c>
      <c r="W89" s="43">
        <f t="shared" ref="W89" si="77">W70*W20</f>
        <v>27.65</v>
      </c>
    </row>
    <row r="90" spans="1:23" x14ac:dyDescent="0.3">
      <c r="A90" s="14" t="s">
        <v>480</v>
      </c>
      <c r="B90" s="43">
        <f>B27*B275</f>
        <v>0</v>
      </c>
      <c r="C90" s="43">
        <f>C27*C275</f>
        <v>0</v>
      </c>
      <c r="D90" s="43">
        <f>D27*D275</f>
        <v>0</v>
      </c>
      <c r="H90" s="43">
        <f>H27*H275</f>
        <v>0</v>
      </c>
      <c r="I90" s="43">
        <f t="shared" ref="I90:W90" si="78">I27*I275</f>
        <v>0</v>
      </c>
      <c r="J90" s="43">
        <f t="shared" si="78"/>
        <v>0</v>
      </c>
      <c r="K90" s="43">
        <f t="shared" si="78"/>
        <v>0</v>
      </c>
      <c r="L90" s="43">
        <f t="shared" si="78"/>
        <v>0</v>
      </c>
      <c r="M90" s="43">
        <f t="shared" si="78"/>
        <v>0</v>
      </c>
      <c r="N90" s="43">
        <f t="shared" si="78"/>
        <v>0</v>
      </c>
      <c r="O90" s="43">
        <f t="shared" si="78"/>
        <v>0</v>
      </c>
      <c r="P90" s="43">
        <f t="shared" si="78"/>
        <v>0</v>
      </c>
      <c r="Q90" s="43">
        <f t="shared" si="78"/>
        <v>0</v>
      </c>
      <c r="R90" s="43">
        <f t="shared" si="78"/>
        <v>0</v>
      </c>
      <c r="S90" s="43">
        <f t="shared" si="78"/>
        <v>0</v>
      </c>
      <c r="T90" s="43">
        <f t="shared" si="78"/>
        <v>0</v>
      </c>
      <c r="U90" s="43">
        <f t="shared" si="78"/>
        <v>0</v>
      </c>
      <c r="V90" s="43">
        <f t="shared" si="78"/>
        <v>0</v>
      </c>
      <c r="W90" s="43">
        <f t="shared" si="78"/>
        <v>0</v>
      </c>
    </row>
    <row r="91" spans="1:23" x14ac:dyDescent="0.3">
      <c r="A91" s="14" t="s">
        <v>481</v>
      </c>
      <c r="B91" s="43">
        <f>B89+B90</f>
        <v>4.1099999999999968</v>
      </c>
      <c r="C91" s="43">
        <f>C89+C90</f>
        <v>27.65</v>
      </c>
      <c r="D91" s="43">
        <f>D89+D90</f>
        <v>45.779999999999994</v>
      </c>
      <c r="H91" s="43">
        <f t="shared" ref="H91:V91" si="79">H89+H90</f>
        <v>27.65</v>
      </c>
      <c r="I91" s="43">
        <f t="shared" si="79"/>
        <v>27.65</v>
      </c>
      <c r="J91" s="43">
        <f t="shared" si="79"/>
        <v>27.65</v>
      </c>
      <c r="K91" s="43">
        <f t="shared" si="79"/>
        <v>11.899999999999999</v>
      </c>
      <c r="L91" s="43">
        <f t="shared" si="79"/>
        <v>17.649999999999999</v>
      </c>
      <c r="M91" s="43">
        <f t="shared" si="79"/>
        <v>27.65</v>
      </c>
      <c r="N91" s="43">
        <f t="shared" si="79"/>
        <v>27.65</v>
      </c>
      <c r="O91" s="43">
        <f t="shared" si="79"/>
        <v>27.65</v>
      </c>
      <c r="P91" s="43">
        <f t="shared" si="79"/>
        <v>27.65</v>
      </c>
      <c r="Q91" s="43">
        <f t="shared" si="79"/>
        <v>27.65</v>
      </c>
      <c r="R91" s="43">
        <f t="shared" si="79"/>
        <v>27.65</v>
      </c>
      <c r="S91" s="43">
        <f t="shared" si="79"/>
        <v>27.65</v>
      </c>
      <c r="T91" s="43">
        <f t="shared" si="79"/>
        <v>27.65</v>
      </c>
      <c r="U91" s="43">
        <f t="shared" si="79"/>
        <v>27.65</v>
      </c>
      <c r="V91" s="43">
        <f t="shared" si="79"/>
        <v>27.65</v>
      </c>
      <c r="W91" s="43">
        <f t="shared" ref="W91" si="80">W89+W90</f>
        <v>27.65</v>
      </c>
    </row>
    <row r="92" spans="1:23" x14ac:dyDescent="0.3">
      <c r="A92" s="14" t="s">
        <v>805</v>
      </c>
      <c r="B92" s="43">
        <f>B71*B20-B36*MAX(0,B89)-B86</f>
        <v>-768.57999999999993</v>
      </c>
      <c r="C92" s="43">
        <f>C71*C20-C36*MAX(0,C89)-C86</f>
        <v>-667.69399999999996</v>
      </c>
      <c r="D92" s="43">
        <f>D71*D20-D36*MAX(0,D89)-D86</f>
        <v>-648.95699999999999</v>
      </c>
      <c r="H92" s="43">
        <f t="shared" ref="H92:W92" si="81">H71*H20-H36*MAX(0,H89)-H86</f>
        <v>-667.69399999999996</v>
      </c>
      <c r="I92" s="43">
        <f t="shared" si="81"/>
        <v>-667.69399999999996</v>
      </c>
      <c r="J92" s="43">
        <f t="shared" si="81"/>
        <v>-667.69399999999996</v>
      </c>
      <c r="K92" s="43">
        <f t="shared" si="81"/>
        <v>-681.86900000000003</v>
      </c>
      <c r="L92" s="43">
        <f t="shared" si="81"/>
        <v>-676.69399999999996</v>
      </c>
      <c r="M92" s="43">
        <f t="shared" si="81"/>
        <v>-667.69399999999996</v>
      </c>
      <c r="N92" s="43">
        <f t="shared" si="81"/>
        <v>-667.69399999999996</v>
      </c>
      <c r="O92" s="43">
        <f t="shared" si="81"/>
        <v>-667.69399999999996</v>
      </c>
      <c r="P92" s="43">
        <f t="shared" si="81"/>
        <v>-667.69399999999996</v>
      </c>
      <c r="Q92" s="43">
        <f t="shared" si="81"/>
        <v>-667.69399999999996</v>
      </c>
      <c r="R92" s="43">
        <f t="shared" si="81"/>
        <v>-667.69399999999996</v>
      </c>
      <c r="S92" s="43">
        <f t="shared" si="81"/>
        <v>-667.69399999999996</v>
      </c>
      <c r="T92" s="43">
        <f t="shared" si="81"/>
        <v>-667.69399999999996</v>
      </c>
      <c r="U92" s="43">
        <f t="shared" si="81"/>
        <v>-667.69399999999996</v>
      </c>
      <c r="V92" s="43">
        <f t="shared" si="81"/>
        <v>-667.69399999999996</v>
      </c>
      <c r="W92" s="43">
        <f t="shared" si="81"/>
        <v>-667.69399999999996</v>
      </c>
    </row>
    <row r="93" spans="1:23" x14ac:dyDescent="0.3">
      <c r="A93" s="14" t="s">
        <v>482</v>
      </c>
      <c r="B93" s="43">
        <f>B90*(1-B36)-B87</f>
        <v>0</v>
      </c>
      <c r="C93" s="43">
        <f>C90*(1-C36)-C87</f>
        <v>0</v>
      </c>
      <c r="D93" s="43">
        <f>D90*(1-D36)-D87</f>
        <v>0</v>
      </c>
      <c r="H93" s="43">
        <f t="shared" ref="H93:V93" si="82">H90*(1-H36)-H87</f>
        <v>0</v>
      </c>
      <c r="I93" s="43">
        <f t="shared" si="82"/>
        <v>0</v>
      </c>
      <c r="J93" s="43">
        <f t="shared" si="82"/>
        <v>-711.923</v>
      </c>
      <c r="K93" s="43">
        <f t="shared" si="82"/>
        <v>0</v>
      </c>
      <c r="L93" s="43">
        <f t="shared" si="82"/>
        <v>0</v>
      </c>
      <c r="M93" s="43">
        <f t="shared" si="82"/>
        <v>0</v>
      </c>
      <c r="N93" s="43">
        <f t="shared" si="82"/>
        <v>0</v>
      </c>
      <c r="O93" s="43">
        <f t="shared" si="82"/>
        <v>0</v>
      </c>
      <c r="P93" s="43">
        <f t="shared" si="82"/>
        <v>0</v>
      </c>
      <c r="Q93" s="43">
        <f t="shared" si="82"/>
        <v>0</v>
      </c>
      <c r="R93" s="43">
        <f t="shared" si="82"/>
        <v>0</v>
      </c>
      <c r="S93" s="43">
        <f t="shared" si="82"/>
        <v>0</v>
      </c>
      <c r="T93" s="43">
        <f t="shared" si="82"/>
        <v>0</v>
      </c>
      <c r="U93" s="43">
        <f t="shared" si="82"/>
        <v>0</v>
      </c>
      <c r="V93" s="43">
        <f t="shared" si="82"/>
        <v>0</v>
      </c>
      <c r="W93" s="43">
        <f t="shared" ref="W93" si="83">W90*(1-W36)-W87</f>
        <v>0</v>
      </c>
    </row>
    <row r="94" spans="1:23" x14ac:dyDescent="0.3">
      <c r="A94" s="14" t="s">
        <v>483</v>
      </c>
      <c r="B94" s="43">
        <f>B92/(1+B45)^1</f>
        <v>-683.66838640811227</v>
      </c>
      <c r="C94" s="43">
        <f>C92/(1+C45)^1</f>
        <v>-593.92812666785267</v>
      </c>
      <c r="D94" s="43">
        <f>D92/(1+D45)^1</f>
        <v>-577.26116349404015</v>
      </c>
      <c r="H94" s="43">
        <f t="shared" ref="H94:V94" si="84">H92/(1+H45)^1</f>
        <v>-593.92812666785267</v>
      </c>
      <c r="I94" s="43">
        <f t="shared" si="84"/>
        <v>-593.92812666785267</v>
      </c>
      <c r="J94" s="43">
        <f t="shared" si="84"/>
        <v>-593.92812666785267</v>
      </c>
      <c r="K94" s="43">
        <f t="shared" si="84"/>
        <v>-606.53709304394238</v>
      </c>
      <c r="L94" s="43">
        <f t="shared" si="84"/>
        <v>-601.93381960505235</v>
      </c>
      <c r="M94" s="43">
        <f t="shared" si="84"/>
        <v>-590.35720601237836</v>
      </c>
      <c r="N94" s="43">
        <f t="shared" si="84"/>
        <v>-593.92812666785267</v>
      </c>
      <c r="O94" s="43">
        <f t="shared" si="84"/>
        <v>-593.92812666785267</v>
      </c>
      <c r="P94" s="43">
        <f t="shared" si="84"/>
        <v>-593.92812666785267</v>
      </c>
      <c r="Q94" s="43">
        <f t="shared" si="84"/>
        <v>-593.92812666785267</v>
      </c>
      <c r="R94" s="43">
        <f t="shared" si="84"/>
        <v>-593.92812666785267</v>
      </c>
      <c r="S94" s="43">
        <f t="shared" si="84"/>
        <v>-593.92812666785267</v>
      </c>
      <c r="T94" s="43">
        <f t="shared" si="84"/>
        <v>-593.92812666785267</v>
      </c>
      <c r="U94" s="43">
        <f t="shared" si="84"/>
        <v>-593.92812666785267</v>
      </c>
      <c r="V94" s="43">
        <f t="shared" si="84"/>
        <v>-593.92812666785267</v>
      </c>
      <c r="W94" s="43">
        <f t="shared" ref="W94" si="85">W92/(1+W45)^1</f>
        <v>-593.92812666785267</v>
      </c>
    </row>
    <row r="95" spans="1:23" x14ac:dyDescent="0.3">
      <c r="A95" s="14" t="s">
        <v>484</v>
      </c>
      <c r="B95" s="43">
        <f>B93/(1+B45)^1</f>
        <v>0</v>
      </c>
      <c r="C95" s="43">
        <f>C93/(1+C45)^1</f>
        <v>0</v>
      </c>
      <c r="D95" s="43">
        <f>D93/(1+D45)^1</f>
        <v>0</v>
      </c>
      <c r="H95" s="43">
        <f t="shared" ref="H95:V95" si="86">H93/(1+H45)^1</f>
        <v>0</v>
      </c>
      <c r="I95" s="43">
        <f t="shared" si="86"/>
        <v>0</v>
      </c>
      <c r="J95" s="43">
        <f t="shared" si="86"/>
        <v>-633.27077032556485</v>
      </c>
      <c r="K95" s="43">
        <f t="shared" si="86"/>
        <v>0</v>
      </c>
      <c r="L95" s="43">
        <f t="shared" si="86"/>
        <v>0</v>
      </c>
      <c r="M95" s="43">
        <f t="shared" si="86"/>
        <v>0</v>
      </c>
      <c r="N95" s="43">
        <f t="shared" si="86"/>
        <v>0</v>
      </c>
      <c r="O95" s="43">
        <f t="shared" si="86"/>
        <v>0</v>
      </c>
      <c r="P95" s="43">
        <f t="shared" si="86"/>
        <v>0</v>
      </c>
      <c r="Q95" s="43">
        <f t="shared" si="86"/>
        <v>0</v>
      </c>
      <c r="R95" s="43">
        <f t="shared" si="86"/>
        <v>0</v>
      </c>
      <c r="S95" s="43">
        <f t="shared" si="86"/>
        <v>0</v>
      </c>
      <c r="T95" s="43">
        <f t="shared" si="86"/>
        <v>0</v>
      </c>
      <c r="U95" s="43">
        <f t="shared" si="86"/>
        <v>0</v>
      </c>
      <c r="V95" s="43">
        <f t="shared" si="86"/>
        <v>0</v>
      </c>
      <c r="W95" s="43">
        <f t="shared" ref="W95" si="87">W93/(1+W45)^1</f>
        <v>0</v>
      </c>
    </row>
    <row r="96" spans="1:23" x14ac:dyDescent="0.3">
      <c r="A96" s="14" t="s">
        <v>485</v>
      </c>
      <c r="B96" s="27">
        <f>IF('01_Số liệu gốc'!$C$65&gt;0,B16,B38)*'01_Số liệu gốc'!$C$65</f>
        <v>90.904904999999999</v>
      </c>
      <c r="C96" s="27">
        <f>IF('01_Số liệu gốc'!$C$65&gt;0,C16,C38)*'01_Số liệu gốc'!$C$65</f>
        <v>97.897590000000008</v>
      </c>
      <c r="D96" s="27">
        <f>IF('01_Số liệu gốc'!$C$65&gt;0,D16,D38)*'01_Số liệu gốc'!$C$65</f>
        <v>104.890275</v>
      </c>
      <c r="H96" s="27">
        <f>IF('01_Số liệu gốc'!$C$65&gt;0,H16,H38)*'01_Số liệu gốc'!$C$65</f>
        <v>97.897590000000008</v>
      </c>
      <c r="I96" s="27">
        <f>IF('01_Số liệu gốc'!$C$65&gt;0,I16,I38)*'01_Số liệu gốc'!$C$65</f>
        <v>97.897590000000008</v>
      </c>
      <c r="J96" s="27">
        <f>IF('01_Số liệu gốc'!$C$65&gt;0,J16,J38)*'01_Số liệu gốc'!$C$65</f>
        <v>97.897590000000008</v>
      </c>
      <c r="K96" s="27">
        <f>IF('01_Số liệu gốc'!$C$65&gt;0,K16,K38)*'01_Số liệu gốc'!$C$65</f>
        <v>97.897590000000008</v>
      </c>
      <c r="L96" s="27">
        <f>IF('01_Số liệu gốc'!$C$65&gt;0,L16,L38)*'01_Số liệu gốc'!$C$65</f>
        <v>97.897590000000008</v>
      </c>
      <c r="M96" s="27">
        <f>IF('01_Số liệu gốc'!$C$65&gt;0,M16,M38)*'01_Số liệu gốc'!$C$65</f>
        <v>97.897590000000008</v>
      </c>
      <c r="N96" s="27">
        <f>IF('01_Số liệu gốc'!$C$65&gt;0,N16,N38)*'01_Số liệu gốc'!$C$65</f>
        <v>97.897590000000008</v>
      </c>
      <c r="O96" s="27">
        <f>IF('01_Số liệu gốc'!$C$65&gt;0,O16,O38)*'01_Số liệu gốc'!$C$65</f>
        <v>97.897590000000008</v>
      </c>
      <c r="P96" s="27">
        <f>IF('01_Số liệu gốc'!$C$65&gt;0,P16,P38)*'01_Số liệu gốc'!$C$65</f>
        <v>97.897590000000008</v>
      </c>
      <c r="Q96" s="27">
        <f>IF('01_Số liệu gốc'!$C$65&gt;0,Q16,Q38)*'01_Số liệu gốc'!$C$65</f>
        <v>97.897590000000008</v>
      </c>
      <c r="R96" s="27">
        <f>IF('01_Số liệu gốc'!$C$65&gt;0,R16,R38)*'01_Số liệu gốc'!$C$65</f>
        <v>97.897590000000008</v>
      </c>
      <c r="S96" s="27">
        <f>IF('01_Số liệu gốc'!$C$65&gt;0,S16,S38)*'01_Số liệu gốc'!$C$65</f>
        <v>97.897590000000008</v>
      </c>
      <c r="T96" s="27">
        <f>IF('01_Số liệu gốc'!$C$65&gt;0,T16,T38)*'01_Số liệu gốc'!$C$65</f>
        <v>97.897590000000008</v>
      </c>
      <c r="U96" s="27">
        <f>IF('01_Số liệu gốc'!$C$65&gt;0,U16,U38)*'01_Số liệu gốc'!$C$65</f>
        <v>97.897590000000008</v>
      </c>
      <c r="V96" s="27">
        <f>IF('01_Số liệu gốc'!$C$65&gt;0,V16,V38)*'01_Số liệu gốc'!$C$65</f>
        <v>97.897590000000008</v>
      </c>
      <c r="W96" s="27">
        <f>IF('01_Số liệu gốc'!$C$65&gt;0,W16,W38)*'01_Số liệu gốc'!$C$65</f>
        <v>97.897590000000008</v>
      </c>
    </row>
    <row r="97" spans="1:23" x14ac:dyDescent="0.3">
      <c r="A97" s="14" t="s">
        <v>486</v>
      </c>
      <c r="B97" s="43">
        <f>B82+B91+B96*(1-B37)</f>
        <v>210.07535104645979</v>
      </c>
      <c r="C97" s="43">
        <f>C82+C91+C96*(1-C37)</f>
        <v>301.4223884835576</v>
      </c>
      <c r="D97" s="43">
        <f>D82+D91+D96*(1-D37)</f>
        <v>388.26942592065529</v>
      </c>
      <c r="H97" s="43">
        <f t="shared" ref="H97:V97" si="88">H82+H91+H96*(1-H37)</f>
        <v>301.4223884835576</v>
      </c>
      <c r="I97" s="43">
        <f t="shared" si="88"/>
        <v>301.4223884835576</v>
      </c>
      <c r="J97" s="43">
        <f t="shared" si="88"/>
        <v>301.4223884835576</v>
      </c>
      <c r="K97" s="43">
        <f t="shared" si="88"/>
        <v>285.6723884835576</v>
      </c>
      <c r="L97" s="43">
        <f t="shared" si="88"/>
        <v>291.4223884835576</v>
      </c>
      <c r="M97" s="43">
        <f t="shared" si="88"/>
        <v>301.4223884835576</v>
      </c>
      <c r="N97" s="43">
        <f t="shared" si="88"/>
        <v>301.4223884835576</v>
      </c>
      <c r="O97" s="43">
        <f t="shared" si="88"/>
        <v>301.4223884835576</v>
      </c>
      <c r="P97" s="43">
        <f t="shared" si="88"/>
        <v>281.45819244740483</v>
      </c>
      <c r="Q97" s="43">
        <f t="shared" si="88"/>
        <v>319.75886395974226</v>
      </c>
      <c r="R97" s="43">
        <f t="shared" si="88"/>
        <v>293.25158570307053</v>
      </c>
      <c r="S97" s="43">
        <f t="shared" si="88"/>
        <v>301.4223884835576</v>
      </c>
      <c r="T97" s="43">
        <f t="shared" si="88"/>
        <v>301.4223884835576</v>
      </c>
      <c r="U97" s="43">
        <f t="shared" si="88"/>
        <v>315.56632641887751</v>
      </c>
      <c r="V97" s="43">
        <f t="shared" si="88"/>
        <v>301.4223884835576</v>
      </c>
      <c r="W97" s="43">
        <f t="shared" ref="W97" si="89">W82+W91+W96*(1-W37)</f>
        <v>303.18856373998057</v>
      </c>
    </row>
    <row r="98" spans="1:23" x14ac:dyDescent="0.3">
      <c r="A98" s="14" t="s">
        <v>487</v>
      </c>
      <c r="B98" s="27">
        <f>B15*'01_Số liệu gốc'!$B$8/1000</f>
        <v>110</v>
      </c>
      <c r="C98" s="27">
        <f>C15*'01_Số liệu gốc'!$B$8/1000</f>
        <v>165</v>
      </c>
      <c r="D98" s="27">
        <f>D15*'01_Số liệu gốc'!$B$8/1000</f>
        <v>220</v>
      </c>
      <c r="H98" s="27">
        <f>H15*'01_Số liệu gốc'!$B$8/1000</f>
        <v>165</v>
      </c>
      <c r="I98" s="27">
        <f>I15*'01_Số liệu gốc'!$B$8/1000</f>
        <v>165</v>
      </c>
      <c r="J98" s="27">
        <f>J15*'01_Số liệu gốc'!$B$8/1000</f>
        <v>165</v>
      </c>
      <c r="K98" s="27">
        <f>K15*'01_Số liệu gốc'!$B$8/1000</f>
        <v>165</v>
      </c>
      <c r="L98" s="27">
        <f>L15*'01_Số liệu gốc'!$B$8/1000</f>
        <v>165</v>
      </c>
      <c r="M98" s="27">
        <f>M15*'01_Số liệu gốc'!$B$8/1000</f>
        <v>165</v>
      </c>
      <c r="N98" s="27">
        <f>N15*'01_Số liệu gốc'!$B$8/1000</f>
        <v>165</v>
      </c>
      <c r="O98" s="27">
        <f>O15*'01_Số liệu gốc'!$B$8/1000</f>
        <v>110</v>
      </c>
      <c r="P98" s="27">
        <f>P15*'01_Số liệu gốc'!$B$8/1000</f>
        <v>165</v>
      </c>
      <c r="Q98" s="27">
        <f>Q15*'01_Số liệu gốc'!$B$8/1000</f>
        <v>165</v>
      </c>
      <c r="R98" s="27">
        <f>R15*'01_Số liệu gốc'!$B$8/1000</f>
        <v>165</v>
      </c>
      <c r="S98" s="27">
        <f>S15*'01_Số liệu gốc'!$B$8/1000</f>
        <v>165</v>
      </c>
      <c r="T98" s="27">
        <f>T15*'01_Số liệu gốc'!$B$8/1000</f>
        <v>165</v>
      </c>
      <c r="U98" s="27">
        <f>U15*'01_Số liệu gốc'!$B$8/1000</f>
        <v>165</v>
      </c>
      <c r="V98" s="27">
        <f>V15*'01_Số liệu gốc'!$B$8/1000</f>
        <v>165</v>
      </c>
      <c r="W98" s="27">
        <f>W15*'01_Số liệu gốc'!$B$8/1000</f>
        <v>165</v>
      </c>
    </row>
    <row r="99" spans="1:23" x14ac:dyDescent="0.3">
      <c r="A99" s="14" t="s">
        <v>488</v>
      </c>
      <c r="B99" s="43">
        <f>(B69-B24)*B20</f>
        <v>8.4</v>
      </c>
      <c r="C99" s="43">
        <f>(C69-C24)*C20</f>
        <v>12.100000000000001</v>
      </c>
      <c r="D99" s="43">
        <f>(D69-D24)*D20</f>
        <v>14.520000000000001</v>
      </c>
      <c r="H99" s="43">
        <f t="shared" ref="H99:V99" si="90">(H69-H24)*H20</f>
        <v>12.100000000000001</v>
      </c>
      <c r="I99" s="43">
        <f t="shared" si="90"/>
        <v>12.100000000000001</v>
      </c>
      <c r="J99" s="43">
        <f t="shared" si="90"/>
        <v>12.100000000000001</v>
      </c>
      <c r="K99" s="43">
        <f t="shared" si="90"/>
        <v>12.100000000000001</v>
      </c>
      <c r="L99" s="43">
        <f t="shared" si="90"/>
        <v>12.100000000000001</v>
      </c>
      <c r="M99" s="43">
        <f t="shared" si="90"/>
        <v>12.100000000000001</v>
      </c>
      <c r="N99" s="43">
        <f t="shared" si="90"/>
        <v>12.100000000000001</v>
      </c>
      <c r="O99" s="43">
        <f t="shared" si="90"/>
        <v>12.100000000000001</v>
      </c>
      <c r="P99" s="43">
        <f t="shared" si="90"/>
        <v>12.100000000000001</v>
      </c>
      <c r="Q99" s="43">
        <f t="shared" si="90"/>
        <v>12.100000000000001</v>
      </c>
      <c r="R99" s="43">
        <f t="shared" si="90"/>
        <v>12.100000000000001</v>
      </c>
      <c r="S99" s="43">
        <f t="shared" si="90"/>
        <v>12.100000000000001</v>
      </c>
      <c r="T99" s="43">
        <f t="shared" si="90"/>
        <v>12.100000000000001</v>
      </c>
      <c r="U99" s="43">
        <f t="shared" si="90"/>
        <v>12.100000000000001</v>
      </c>
      <c r="V99" s="43">
        <f t="shared" si="90"/>
        <v>12.100000000000001</v>
      </c>
      <c r="W99" s="43">
        <f t="shared" ref="W99" si="91">(W69-W24)*W20</f>
        <v>12.100000000000001</v>
      </c>
    </row>
    <row r="100" spans="1:23" x14ac:dyDescent="0.3">
      <c r="A100" s="9" t="s">
        <v>489</v>
      </c>
      <c r="B100" s="70">
        <f>'01_Số liệu gốc'!$C$65+B97*(1-B36)-B98-B88-B83+B99</f>
        <v>705.32581594181374</v>
      </c>
      <c r="C100" s="70">
        <f>'01_Số liệu gốc'!$C$65+C97*(1-C36)-C98-C88-C83+C99</f>
        <v>796.84886963520205</v>
      </c>
      <c r="D100" s="70">
        <f>'01_Số liệu gốc'!$C$65+D97*(1-D36)-D98-D88-D83+D99</f>
        <v>806.80120332858985</v>
      </c>
      <c r="H100" s="70">
        <f>'01_Số liệu gốc'!$C$65+H97*(1-H36)-H98-H88-H83+H99</f>
        <v>796.84886963520205</v>
      </c>
      <c r="I100" s="70">
        <f>'01_Số liệu gốc'!$C$65+I97*(1-I36)-I98-I88-I83+I99</f>
        <v>796.84886963520205</v>
      </c>
      <c r="J100" s="70">
        <f>'01_Số liệu gốc'!$C$65+J97*(1-J36)-J98-J88-J83+J99</f>
        <v>84.925869635202133</v>
      </c>
      <c r="K100" s="70">
        <f>'01_Số liệu gốc'!$C$65+K97*(1-K36)-K98-K88-K83+K99</f>
        <v>782.67386963520187</v>
      </c>
      <c r="L100" s="70">
        <f>'01_Số liệu gốc'!$C$65+L97*(1-L36)-L98-L88-L83+L99</f>
        <v>787.84886963520205</v>
      </c>
      <c r="M100" s="70">
        <f>'01_Số liệu gốc'!$C$65+M97*(1-M36)-M98-M88-M83+M99</f>
        <v>796.84886963520205</v>
      </c>
      <c r="N100" s="70">
        <f>'01_Số liệu gốc'!$C$65+N97*(1-N36)-N98-N88-N83+N99</f>
        <v>796.84886963520205</v>
      </c>
      <c r="O100" s="70">
        <f>'01_Số liệu gốc'!$C$65+O97*(1-O36)-O98-O88-O83+O99</f>
        <v>851.84886963520205</v>
      </c>
      <c r="P100" s="70">
        <f>'01_Số liệu gốc'!$C$65+P97*(1-P36)-P98-P88-P83+P99</f>
        <v>791.05929520266432</v>
      </c>
      <c r="Q100" s="70">
        <f>'01_Số liệu gốc'!$C$65+Q97*(1-Q36)-Q98-Q88-Q83+Q99</f>
        <v>802.16640856376819</v>
      </c>
      <c r="R100" s="70">
        <f>'01_Số liệu gốc'!$C$65+R97*(1-R36)-R98-R88-R83+R99</f>
        <v>789.49514713276369</v>
      </c>
      <c r="S100" s="70">
        <f>'01_Số liệu gốc'!$C$65+S97*(1-S36)-S98-S88-S83+S99</f>
        <v>796.84886963520205</v>
      </c>
      <c r="T100" s="70">
        <f>'01_Số liệu gốc'!$C$65+T97*(1-T36)-T98-T88-T83+T99</f>
        <v>796.84886963520205</v>
      </c>
      <c r="U100" s="70">
        <f>'01_Số liệu gốc'!$C$65+U97*(1-U36)-U98-U88-U83+U99</f>
        <v>809.57841377698981</v>
      </c>
      <c r="V100" s="70">
        <f>'01_Số liệu gốc'!$C$65+V97*(1-V36)-V98-V88-V83+V99</f>
        <v>796.84886963520205</v>
      </c>
      <c r="W100" s="70">
        <f>'01_Số liệu gốc'!$C$65+W97*(1-W36)-W98-W88-W83+W99</f>
        <v>798.43842736598265</v>
      </c>
    </row>
    <row r="101" spans="1:23" x14ac:dyDescent="0.3">
      <c r="A101" s="14" t="s">
        <v>490</v>
      </c>
      <c r="B101" s="27">
        <f>'01_Số liệu gốc'!$C$67+B97*(1-B36)-B98</f>
        <v>2400.1568159418139</v>
      </c>
      <c r="C101" s="27">
        <f>'01_Số liệu gốc'!$C$67+C97*(1-C36)-C98</f>
        <v>2427.3691496352017</v>
      </c>
      <c r="D101" s="27">
        <f>'01_Số liệu gốc'!$C$67+D97*(1-D36)-D98</f>
        <v>2450.5314833285897</v>
      </c>
      <c r="H101" s="27">
        <f>'01_Số liệu gốc'!$C$67+H97*(1-H36)-H98</f>
        <v>2427.3691496352017</v>
      </c>
      <c r="I101" s="27">
        <f>'01_Số liệu gốc'!$C$67+I97*(1-I36)-I98</f>
        <v>2427.3691496352017</v>
      </c>
      <c r="J101" s="27">
        <f>'01_Số liệu gốc'!$C$67+J97*(1-J36)-J98</f>
        <v>2427.3691496352017</v>
      </c>
      <c r="K101" s="27">
        <f>'01_Số liệu gốc'!$C$67+K97*(1-K36)-K98</f>
        <v>2413.1941496352019</v>
      </c>
      <c r="L101" s="27">
        <f>'01_Số liệu gốc'!$C$67+L97*(1-L36)-L98</f>
        <v>2418.3691496352017</v>
      </c>
      <c r="M101" s="27">
        <f>'01_Số liệu gốc'!$C$67+M97*(1-M36)-M98</f>
        <v>2427.3691496352017</v>
      </c>
      <c r="N101" s="27">
        <f>'01_Số liệu gốc'!$C$67+N97*(1-N36)-N98</f>
        <v>2427.3691496352017</v>
      </c>
      <c r="O101" s="27">
        <f>'01_Số liệu gốc'!$C$67+O97*(1-O36)-O98</f>
        <v>2482.3691496352017</v>
      </c>
      <c r="P101" s="27">
        <f>'01_Số liệu gốc'!$C$67+P97*(1-P36)-P98</f>
        <v>2409.4013732026642</v>
      </c>
      <c r="Q101" s="27">
        <f>'01_Số liệu gốc'!$C$67+Q97*(1-Q36)-Q98</f>
        <v>2443.8719775637678</v>
      </c>
      <c r="R101" s="27">
        <f>'01_Số liệu gốc'!$C$67+R97*(1-R36)-R98</f>
        <v>2420.0154271327633</v>
      </c>
      <c r="S101" s="27">
        <f>'01_Số liệu gốc'!$C$67+S97*(1-S36)-S98</f>
        <v>2427.3691496352017</v>
      </c>
      <c r="T101" s="27">
        <f>'01_Số liệu gốc'!$C$67+T97*(1-T36)-T98</f>
        <v>2427.3691496352017</v>
      </c>
      <c r="U101" s="27">
        <f>'01_Số liệu gốc'!$C$67+U97*(1-U36)-U98</f>
        <v>2440.0986937769899</v>
      </c>
      <c r="V101" s="27">
        <f>'01_Số liệu gốc'!$C$67+V97*(1-V36)-V98</f>
        <v>2427.3691496352017</v>
      </c>
      <c r="W101" s="27">
        <f>'01_Số liệu gốc'!$C$67+W97*(1-W36)-W98</f>
        <v>2428.9587073659823</v>
      </c>
    </row>
    <row r="102" spans="1:23" x14ac:dyDescent="0.3">
      <c r="A102" s="14" t="s">
        <v>491</v>
      </c>
      <c r="B102" s="43">
        <f>B98/(1+B44)^1</f>
        <v>98.899518089620955</v>
      </c>
      <c r="C102" s="43">
        <f>C98/(1+C44)^1</f>
        <v>148.34927713443142</v>
      </c>
      <c r="D102" s="43">
        <f>D98/(1+D44)^1</f>
        <v>197.79903617924191</v>
      </c>
      <c r="H102" s="43">
        <f t="shared" ref="H102:V102" si="92">H98/(1+H44)^1</f>
        <v>148.34927713443142</v>
      </c>
      <c r="I102" s="43">
        <f t="shared" si="92"/>
        <v>148.34927713443142</v>
      </c>
      <c r="J102" s="43">
        <f t="shared" si="92"/>
        <v>148.34927713443142</v>
      </c>
      <c r="K102" s="43">
        <f t="shared" si="92"/>
        <v>148.34927713443142</v>
      </c>
      <c r="L102" s="43">
        <f t="shared" si="92"/>
        <v>148.34927713443142</v>
      </c>
      <c r="M102" s="43">
        <f t="shared" si="92"/>
        <v>147.58497316636854</v>
      </c>
      <c r="N102" s="43">
        <f t="shared" si="92"/>
        <v>146.77103718199606</v>
      </c>
      <c r="O102" s="43">
        <f t="shared" si="92"/>
        <v>98.899518089620955</v>
      </c>
      <c r="P102" s="43">
        <f t="shared" si="92"/>
        <v>148.34927713443142</v>
      </c>
      <c r="Q102" s="43">
        <f t="shared" si="92"/>
        <v>148.34927713443142</v>
      </c>
      <c r="R102" s="43">
        <f t="shared" si="92"/>
        <v>148.34927713443142</v>
      </c>
      <c r="S102" s="43">
        <f t="shared" si="92"/>
        <v>148.34927713443142</v>
      </c>
      <c r="T102" s="43">
        <f t="shared" si="92"/>
        <v>148.34927713443142</v>
      </c>
      <c r="U102" s="43">
        <f t="shared" si="92"/>
        <v>148.34927713443142</v>
      </c>
      <c r="V102" s="43">
        <f t="shared" si="92"/>
        <v>149.21323928377646</v>
      </c>
      <c r="W102" s="43">
        <f t="shared" ref="W102" si="93">W98/(1+W44)^1</f>
        <v>148.34927713443142</v>
      </c>
    </row>
    <row r="103" spans="1:23" x14ac:dyDescent="0.3">
      <c r="A103" s="51" t="s">
        <v>806</v>
      </c>
      <c r="B103" s="52"/>
      <c r="C103" s="52"/>
      <c r="D103" s="52"/>
      <c r="E103" s="52"/>
      <c r="F103" s="52"/>
      <c r="G103" s="52"/>
      <c r="H103" s="52"/>
      <c r="I103" s="52"/>
      <c r="J103" s="52"/>
      <c r="K103" s="52"/>
      <c r="L103" s="52"/>
      <c r="M103" s="52"/>
      <c r="N103" s="52"/>
      <c r="O103" s="52"/>
      <c r="P103" s="52"/>
      <c r="Q103" s="52"/>
      <c r="R103" s="52"/>
      <c r="S103" s="52"/>
      <c r="T103" s="52"/>
      <c r="U103" s="52"/>
      <c r="V103" s="52"/>
      <c r="W103" s="52"/>
    </row>
    <row r="104" spans="1:23" x14ac:dyDescent="0.3">
      <c r="A104" s="14" t="s">
        <v>472</v>
      </c>
      <c r="B104" s="43">
        <f>B6*(1+B11)^1</f>
        <v>2200</v>
      </c>
      <c r="C104" s="43">
        <f>C6*(1+C11)^1</f>
        <v>2523.5</v>
      </c>
      <c r="D104" s="43">
        <f>D6*(1+D11)^1</f>
        <v>2835</v>
      </c>
      <c r="H104" s="43">
        <f t="shared" ref="H104:V104" si="94">H6*(1+H11)^1</f>
        <v>2523.5</v>
      </c>
      <c r="I104" s="43">
        <f t="shared" si="94"/>
        <v>2523.5</v>
      </c>
      <c r="J104" s="43">
        <f t="shared" si="94"/>
        <v>2523.5</v>
      </c>
      <c r="K104" s="43">
        <f t="shared" si="94"/>
        <v>2523.5</v>
      </c>
      <c r="L104" s="43">
        <f t="shared" si="94"/>
        <v>2523.5</v>
      </c>
      <c r="M104" s="43">
        <f t="shared" si="94"/>
        <v>2523.5</v>
      </c>
      <c r="N104" s="43">
        <f t="shared" si="94"/>
        <v>2523.5</v>
      </c>
      <c r="O104" s="43">
        <f t="shared" si="94"/>
        <v>2523.5</v>
      </c>
      <c r="P104" s="43">
        <f t="shared" si="94"/>
        <v>2231.7895800000001</v>
      </c>
      <c r="Q104" s="43">
        <f t="shared" si="94"/>
        <v>2791.4266899999998</v>
      </c>
      <c r="R104" s="43">
        <f t="shared" si="94"/>
        <v>2523.5</v>
      </c>
      <c r="S104" s="43">
        <f t="shared" si="94"/>
        <v>2523.5</v>
      </c>
      <c r="T104" s="43">
        <f t="shared" si="94"/>
        <v>2523.5</v>
      </c>
      <c r="U104" s="43">
        <f t="shared" si="94"/>
        <v>2523.5</v>
      </c>
      <c r="V104" s="43">
        <f t="shared" si="94"/>
        <v>2523.5</v>
      </c>
      <c r="W104" s="43">
        <f t="shared" ref="W104" si="95">W6*(1+W11)^1</f>
        <v>2523.5</v>
      </c>
    </row>
    <row r="105" spans="1:23" x14ac:dyDescent="0.3">
      <c r="A105" s="14" t="s">
        <v>473</v>
      </c>
      <c r="B105" s="43">
        <f>B40*B7+(B53-B9)*B104-B42*(1+B35)^1</f>
        <v>145.24915060050529</v>
      </c>
      <c r="C105" s="43">
        <f>C40*C7+(C53-C9)*C104-C42*(1+C35)^1</f>
        <v>219.30851206380692</v>
      </c>
      <c r="D105" s="43">
        <f>D40*D7+(D53-D9)*D104-D42*(1+D35)^1</f>
        <v>296.13831452383306</v>
      </c>
      <c r="H105" s="43">
        <f t="shared" ref="H105:V105" si="96">H40*H7+(H53-H9)*H104-H42*(1+H35)^1</f>
        <v>219.30851206380692</v>
      </c>
      <c r="I105" s="43">
        <f t="shared" si="96"/>
        <v>219.30851206380692</v>
      </c>
      <c r="J105" s="43">
        <f t="shared" si="96"/>
        <v>219.30851206380692</v>
      </c>
      <c r="K105" s="43">
        <f t="shared" si="96"/>
        <v>219.30851206380692</v>
      </c>
      <c r="L105" s="43">
        <f t="shared" si="96"/>
        <v>219.30851206380692</v>
      </c>
      <c r="M105" s="43">
        <f t="shared" si="96"/>
        <v>219.30851206380692</v>
      </c>
      <c r="N105" s="43">
        <f t="shared" si="96"/>
        <v>219.30851206380692</v>
      </c>
      <c r="O105" s="43">
        <f t="shared" si="96"/>
        <v>219.30851206380692</v>
      </c>
      <c r="P105" s="43">
        <f t="shared" si="96"/>
        <v>196.71167479211755</v>
      </c>
      <c r="Q105" s="43">
        <f t="shared" si="96"/>
        <v>240.06298430608189</v>
      </c>
      <c r="R105" s="43">
        <f t="shared" si="96"/>
        <v>210.06024078479408</v>
      </c>
      <c r="S105" s="43">
        <f t="shared" si="96"/>
        <v>219.30851206380692</v>
      </c>
      <c r="T105" s="43">
        <f t="shared" si="96"/>
        <v>219.30851206380692</v>
      </c>
      <c r="U105" s="43">
        <f t="shared" si="96"/>
        <v>235.31758467191634</v>
      </c>
      <c r="V105" s="43">
        <f t="shared" si="96"/>
        <v>219.30851206380692</v>
      </c>
      <c r="W105" s="43">
        <f t="shared" ref="W105" si="97">W40*W7+(W53-W9)*W104-W42*(1+W35)^1</f>
        <v>222.26758955184613</v>
      </c>
    </row>
    <row r="106" spans="1:23" x14ac:dyDescent="0.3">
      <c r="A106" s="14" t="s">
        <v>474</v>
      </c>
      <c r="B106" s="43">
        <f>B105*(1-B10)</f>
        <v>132.1767270464598</v>
      </c>
      <c r="C106" s="43">
        <f>C105*(1-C10)</f>
        <v>199.57074597806431</v>
      </c>
      <c r="D106" s="43">
        <f>D105*(1-D10)</f>
        <v>269.48586621668807</v>
      </c>
      <c r="H106" s="43">
        <f t="shared" ref="H106:V106" si="98">H105*(1-H10)</f>
        <v>199.57074597806431</v>
      </c>
      <c r="I106" s="43">
        <f t="shared" si="98"/>
        <v>199.57074597806431</v>
      </c>
      <c r="J106" s="43">
        <f t="shared" si="98"/>
        <v>199.57074597806431</v>
      </c>
      <c r="K106" s="43">
        <f t="shared" si="98"/>
        <v>199.57074597806431</v>
      </c>
      <c r="L106" s="43">
        <f t="shared" si="98"/>
        <v>199.57074597806431</v>
      </c>
      <c r="M106" s="43">
        <f t="shared" si="98"/>
        <v>199.57074597806431</v>
      </c>
      <c r="N106" s="43">
        <f t="shared" si="98"/>
        <v>199.57074597806431</v>
      </c>
      <c r="O106" s="43">
        <f t="shared" si="98"/>
        <v>199.57074597806431</v>
      </c>
      <c r="P106" s="43">
        <f t="shared" si="98"/>
        <v>179.00762406082697</v>
      </c>
      <c r="Q106" s="43">
        <f t="shared" si="98"/>
        <v>218.45731571853452</v>
      </c>
      <c r="R106" s="43">
        <f t="shared" si="98"/>
        <v>191.15481911416262</v>
      </c>
      <c r="S106" s="43">
        <f t="shared" si="98"/>
        <v>199.57074597806431</v>
      </c>
      <c r="T106" s="43">
        <f t="shared" si="98"/>
        <v>199.57074597806431</v>
      </c>
      <c r="U106" s="43">
        <f t="shared" si="98"/>
        <v>214.13900205144387</v>
      </c>
      <c r="V106" s="43">
        <f t="shared" si="98"/>
        <v>199.57074597806431</v>
      </c>
      <c r="W106" s="43">
        <f t="shared" ref="W106" si="99">W105*(1-W10)</f>
        <v>202.26350649217997</v>
      </c>
    </row>
    <row r="107" spans="1:23" x14ac:dyDescent="0.3">
      <c r="A107" s="14" t="s">
        <v>803</v>
      </c>
      <c r="B107" s="43">
        <f>(B46-B47)*(B104+B7)+B48*IF((B104-B80)&lt;0,B49,1)*(B104-B80)</f>
        <v>0</v>
      </c>
      <c r="C107" s="43">
        <f>(C46-C47)*(C104+C7)+C48*IF((C104-C80)&lt;0,C49,1)*(C104-C80)</f>
        <v>12.430499999999997</v>
      </c>
      <c r="D107" s="43">
        <f>(D46-D47)*(D104+D7)+D48*IF((D104-D80)&lt;0,D49,1)*(D104-D80)</f>
        <v>22.575000000000003</v>
      </c>
      <c r="H107" s="43">
        <f t="shared" ref="H107:W107" si="100">(H46-H47)*(H104+H7)+H48*IF((H104-H80)&lt;0,H49,1)*(H104-H80)</f>
        <v>12.430499999999997</v>
      </c>
      <c r="I107" s="43">
        <f t="shared" si="100"/>
        <v>12.430499999999997</v>
      </c>
      <c r="J107" s="43">
        <f t="shared" si="100"/>
        <v>12.430499999999997</v>
      </c>
      <c r="K107" s="43">
        <f t="shared" si="100"/>
        <v>12.430499999999997</v>
      </c>
      <c r="L107" s="43">
        <f t="shared" si="100"/>
        <v>12.430499999999997</v>
      </c>
      <c r="M107" s="43">
        <f t="shared" si="100"/>
        <v>12.430499999999997</v>
      </c>
      <c r="N107" s="43">
        <f t="shared" si="100"/>
        <v>12.430499999999997</v>
      </c>
      <c r="O107" s="43">
        <f t="shared" si="100"/>
        <v>12.430499999999997</v>
      </c>
      <c r="P107" s="43">
        <f t="shared" si="100"/>
        <v>11.215511939999999</v>
      </c>
      <c r="Q107" s="43">
        <f t="shared" si="100"/>
        <v>13.546427670000005</v>
      </c>
      <c r="R107" s="43">
        <f t="shared" si="100"/>
        <v>12.430499999999997</v>
      </c>
      <c r="S107" s="43">
        <f t="shared" si="100"/>
        <v>12.430499999999997</v>
      </c>
      <c r="T107" s="43">
        <f t="shared" si="100"/>
        <v>12.430499999999997</v>
      </c>
      <c r="U107" s="43">
        <f t="shared" si="100"/>
        <v>12.430499999999997</v>
      </c>
      <c r="V107" s="43">
        <f t="shared" si="100"/>
        <v>12.430499999999997</v>
      </c>
      <c r="W107" s="43">
        <f t="shared" si="100"/>
        <v>12.430499999999997</v>
      </c>
    </row>
    <row r="108" spans="1:23" x14ac:dyDescent="0.3">
      <c r="A108" s="9" t="s">
        <v>475</v>
      </c>
      <c r="B108" s="67">
        <f>B106*(1-B36)-B107</f>
        <v>118.95905434181383</v>
      </c>
      <c r="C108" s="67">
        <f>C106*(1-C36)-C107</f>
        <v>167.18317138025787</v>
      </c>
      <c r="D108" s="67">
        <f>D106*(1-D36)-D107</f>
        <v>219.96227959501925</v>
      </c>
      <c r="H108" s="67">
        <f t="shared" ref="H108:V108" si="101">H106*(1-H36)-H107</f>
        <v>167.18317138025787</v>
      </c>
      <c r="I108" s="67">
        <f t="shared" si="101"/>
        <v>167.18317138025787</v>
      </c>
      <c r="J108" s="67">
        <f t="shared" si="101"/>
        <v>167.18317138025787</v>
      </c>
      <c r="K108" s="67">
        <f t="shared" si="101"/>
        <v>167.18317138025787</v>
      </c>
      <c r="L108" s="67">
        <f t="shared" si="101"/>
        <v>167.18317138025787</v>
      </c>
      <c r="M108" s="67">
        <f t="shared" si="101"/>
        <v>167.18317138025787</v>
      </c>
      <c r="N108" s="67">
        <f t="shared" si="101"/>
        <v>167.18317138025787</v>
      </c>
      <c r="O108" s="67">
        <f t="shared" si="101"/>
        <v>167.18317138025787</v>
      </c>
      <c r="P108" s="67">
        <f t="shared" si="101"/>
        <v>149.89134971474428</v>
      </c>
      <c r="Q108" s="67">
        <f t="shared" si="101"/>
        <v>183.06515647668107</v>
      </c>
      <c r="R108" s="67">
        <f t="shared" si="101"/>
        <v>159.60883720274637</v>
      </c>
      <c r="S108" s="67">
        <f t="shared" si="101"/>
        <v>167.18317138025787</v>
      </c>
      <c r="T108" s="67">
        <f t="shared" si="101"/>
        <v>167.18317138025787</v>
      </c>
      <c r="U108" s="67">
        <f t="shared" si="101"/>
        <v>180.29460184629949</v>
      </c>
      <c r="V108" s="67">
        <f t="shared" si="101"/>
        <v>167.18317138025787</v>
      </c>
      <c r="W108" s="67">
        <f t="shared" ref="W108" si="102">W106*(1-W36)-W107</f>
        <v>169.60665584296197</v>
      </c>
    </row>
    <row r="109" spans="1:23" x14ac:dyDescent="0.3">
      <c r="A109" s="14" t="s">
        <v>804</v>
      </c>
      <c r="B109" s="43">
        <f>B108/(1+B44)^1.5</f>
        <v>101.41442636910573</v>
      </c>
      <c r="C109" s="43">
        <f>C108/(1+C44)^1.5</f>
        <v>142.52622902817728</v>
      </c>
      <c r="D109" s="43">
        <f>D108/(1+D44)^1.5</f>
        <v>187.52123183387434</v>
      </c>
      <c r="H109" s="43">
        <f t="shared" ref="H109:W109" si="103">H108/(1+H44)^1.5</f>
        <v>142.52622902817728</v>
      </c>
      <c r="I109" s="43">
        <f t="shared" si="103"/>
        <v>142.52622902817728</v>
      </c>
      <c r="J109" s="43">
        <f t="shared" si="103"/>
        <v>142.52622902817728</v>
      </c>
      <c r="K109" s="43">
        <f t="shared" si="103"/>
        <v>142.52622902817728</v>
      </c>
      <c r="L109" s="43">
        <f t="shared" si="103"/>
        <v>142.52622902817728</v>
      </c>
      <c r="M109" s="43">
        <f t="shared" si="103"/>
        <v>141.42619400213533</v>
      </c>
      <c r="N109" s="43">
        <f t="shared" si="103"/>
        <v>140.2578534013598</v>
      </c>
      <c r="O109" s="43">
        <f t="shared" si="103"/>
        <v>142.52622902817728</v>
      </c>
      <c r="P109" s="43">
        <f t="shared" si="103"/>
        <v>127.78468468094272</v>
      </c>
      <c r="Q109" s="43">
        <f t="shared" si="103"/>
        <v>156.06586598198501</v>
      </c>
      <c r="R109" s="43">
        <f t="shared" si="103"/>
        <v>136.06899246060112</v>
      </c>
      <c r="S109" s="43">
        <f t="shared" si="103"/>
        <v>142.52622902817728</v>
      </c>
      <c r="T109" s="43">
        <f t="shared" si="103"/>
        <v>142.52622902817728</v>
      </c>
      <c r="U109" s="43">
        <f t="shared" si="103"/>
        <v>153.70392547969192</v>
      </c>
      <c r="V109" s="43">
        <f t="shared" si="103"/>
        <v>143.7731145417105</v>
      </c>
      <c r="W109" s="43">
        <f t="shared" si="103"/>
        <v>144.5922868659722</v>
      </c>
    </row>
    <row r="110" spans="1:23" x14ac:dyDescent="0.3">
      <c r="A110" s="14" t="s">
        <v>476</v>
      </c>
      <c r="B110" s="43">
        <f>0</f>
        <v>0</v>
      </c>
      <c r="C110" s="43">
        <f>0</f>
        <v>0</v>
      </c>
      <c r="D110" s="43">
        <f>0</f>
        <v>0</v>
      </c>
      <c r="H110" s="43">
        <f>0</f>
        <v>0</v>
      </c>
      <c r="I110" s="43">
        <f>0</f>
        <v>0</v>
      </c>
      <c r="J110" s="43">
        <f>0</f>
        <v>0</v>
      </c>
      <c r="K110" s="43">
        <f>0</f>
        <v>0</v>
      </c>
      <c r="L110" s="43">
        <f>0</f>
        <v>0</v>
      </c>
      <c r="M110" s="43">
        <f>0</f>
        <v>0</v>
      </c>
      <c r="N110" s="43">
        <f>0</f>
        <v>0</v>
      </c>
      <c r="O110" s="43">
        <f>0</f>
        <v>0</v>
      </c>
      <c r="P110" s="43">
        <f>0</f>
        <v>0</v>
      </c>
      <c r="Q110" s="43">
        <f>0</f>
        <v>0</v>
      </c>
      <c r="R110" s="43">
        <f>0</f>
        <v>0</v>
      </c>
      <c r="S110" s="43">
        <f>0</f>
        <v>0</v>
      </c>
      <c r="T110" s="43">
        <f>0</f>
        <v>0</v>
      </c>
      <c r="U110" s="43">
        <f>0</f>
        <v>0</v>
      </c>
      <c r="V110" s="43">
        <f>0</f>
        <v>0</v>
      </c>
      <c r="W110" s="43">
        <f>0</f>
        <v>0</v>
      </c>
    </row>
    <row r="111" spans="1:23" x14ac:dyDescent="0.3">
      <c r="A111" s="14" t="s">
        <v>477</v>
      </c>
      <c r="B111" s="43">
        <f>B74*(IF(B29-2028=1,0.5,0)+IF(B29-2028=2,0.5,0)+IF(AND(B29=2028,2028=2027),0.5,0))</f>
        <v>0</v>
      </c>
      <c r="C111" s="43">
        <f>C74*(IF(C29-2028=1,0.5,0)+IF(C29-2028=2,0.5,0)+IF(AND(C29=2028,2028=2027),0.5,0))</f>
        <v>355.9615</v>
      </c>
      <c r="D111" s="43">
        <f>D74*(IF(D29-2028=1,0.5,0)+IF(D29-2028=2,0.5,0)+IF(AND(D29=2028,2028=2027),0.5,0))</f>
        <v>355.9615</v>
      </c>
      <c r="H111" s="43">
        <f t="shared" ref="H111:V111" si="104">H74*(IF(H29-2028=1,0.5,0)+IF(H29-2028=2,0.5,0)+IF(AND(H29=2028,2028=2027),0.5,0))</f>
        <v>355.9615</v>
      </c>
      <c r="I111" s="43">
        <f t="shared" si="104"/>
        <v>0</v>
      </c>
      <c r="J111" s="43">
        <f t="shared" si="104"/>
        <v>0</v>
      </c>
      <c r="K111" s="43">
        <f t="shared" si="104"/>
        <v>355.9615</v>
      </c>
      <c r="L111" s="43">
        <f t="shared" si="104"/>
        <v>355.9615</v>
      </c>
      <c r="M111" s="43">
        <f t="shared" si="104"/>
        <v>355.9615</v>
      </c>
      <c r="N111" s="43">
        <f t="shared" si="104"/>
        <v>355.9615</v>
      </c>
      <c r="O111" s="43">
        <f t="shared" si="104"/>
        <v>355.9615</v>
      </c>
      <c r="P111" s="43">
        <f t="shared" si="104"/>
        <v>355.9615</v>
      </c>
      <c r="Q111" s="43">
        <f t="shared" si="104"/>
        <v>355.9615</v>
      </c>
      <c r="R111" s="43">
        <f t="shared" si="104"/>
        <v>355.9615</v>
      </c>
      <c r="S111" s="43">
        <f t="shared" si="104"/>
        <v>355.9615</v>
      </c>
      <c r="T111" s="43">
        <f t="shared" si="104"/>
        <v>355.9615</v>
      </c>
      <c r="U111" s="43">
        <f t="shared" si="104"/>
        <v>355.9615</v>
      </c>
      <c r="V111" s="43">
        <f t="shared" si="104"/>
        <v>355.9615</v>
      </c>
      <c r="W111" s="43">
        <f t="shared" ref="W111" si="105">W74*(IF(W29-2028=1,0.5,0)+IF(W29-2028=2,0.5,0)+IF(AND(W29=2028,2028=2027),0.5,0))</f>
        <v>355.9615</v>
      </c>
    </row>
    <row r="112" spans="1:23" x14ac:dyDescent="0.3">
      <c r="A112" s="14" t="s">
        <v>478</v>
      </c>
      <c r="B112" s="43">
        <f>B110+B111</f>
        <v>0</v>
      </c>
      <c r="C112" s="43">
        <f>C110+C111</f>
        <v>355.9615</v>
      </c>
      <c r="D112" s="43">
        <f>D110+D111</f>
        <v>355.9615</v>
      </c>
      <c r="H112" s="43">
        <f t="shared" ref="H112:V112" si="106">H110+H111</f>
        <v>355.9615</v>
      </c>
      <c r="I112" s="43">
        <f t="shared" si="106"/>
        <v>0</v>
      </c>
      <c r="J112" s="43">
        <f t="shared" si="106"/>
        <v>0</v>
      </c>
      <c r="K112" s="43">
        <f t="shared" si="106"/>
        <v>355.9615</v>
      </c>
      <c r="L112" s="43">
        <f t="shared" si="106"/>
        <v>355.9615</v>
      </c>
      <c r="M112" s="43">
        <f t="shared" si="106"/>
        <v>355.9615</v>
      </c>
      <c r="N112" s="43">
        <f t="shared" si="106"/>
        <v>355.9615</v>
      </c>
      <c r="O112" s="43">
        <f t="shared" si="106"/>
        <v>355.9615</v>
      </c>
      <c r="P112" s="43">
        <f t="shared" si="106"/>
        <v>355.9615</v>
      </c>
      <c r="Q112" s="43">
        <f t="shared" si="106"/>
        <v>355.9615</v>
      </c>
      <c r="R112" s="43">
        <f t="shared" si="106"/>
        <v>355.9615</v>
      </c>
      <c r="S112" s="43">
        <f t="shared" si="106"/>
        <v>355.9615</v>
      </c>
      <c r="T112" s="43">
        <f t="shared" si="106"/>
        <v>355.9615</v>
      </c>
      <c r="U112" s="43">
        <f t="shared" si="106"/>
        <v>355.9615</v>
      </c>
      <c r="V112" s="43">
        <f t="shared" si="106"/>
        <v>355.9615</v>
      </c>
      <c r="W112" s="43">
        <f t="shared" ref="W112" si="107">W110+W111</f>
        <v>355.9615</v>
      </c>
    </row>
    <row r="113" spans="1:23" x14ac:dyDescent="0.3">
      <c r="A113" s="14" t="s">
        <v>479</v>
      </c>
      <c r="B113" s="43">
        <f>B70*1+B73</f>
        <v>13.699999999999989</v>
      </c>
      <c r="C113" s="43">
        <f>C70*1+C73</f>
        <v>63.3</v>
      </c>
      <c r="D113" s="43">
        <f>D70*1+D73</f>
        <v>96.3</v>
      </c>
      <c r="H113" s="43">
        <f t="shared" ref="H113:V113" si="108">H70*1+H73</f>
        <v>63.3</v>
      </c>
      <c r="I113" s="43">
        <f t="shared" si="108"/>
        <v>63.3</v>
      </c>
      <c r="J113" s="43">
        <f t="shared" si="108"/>
        <v>63.3</v>
      </c>
      <c r="K113" s="43">
        <f t="shared" si="108"/>
        <v>31.799999999999997</v>
      </c>
      <c r="L113" s="43">
        <f t="shared" si="108"/>
        <v>43.3</v>
      </c>
      <c r="M113" s="43">
        <f t="shared" si="108"/>
        <v>63.3</v>
      </c>
      <c r="N113" s="43">
        <f t="shared" si="108"/>
        <v>63.3</v>
      </c>
      <c r="O113" s="43">
        <f t="shared" si="108"/>
        <v>63.3</v>
      </c>
      <c r="P113" s="43">
        <f t="shared" si="108"/>
        <v>63.3</v>
      </c>
      <c r="Q113" s="43">
        <f t="shared" si="108"/>
        <v>63.3</v>
      </c>
      <c r="R113" s="43">
        <f t="shared" si="108"/>
        <v>63.3</v>
      </c>
      <c r="S113" s="43">
        <f t="shared" si="108"/>
        <v>63.3</v>
      </c>
      <c r="T113" s="43">
        <f t="shared" si="108"/>
        <v>63.3</v>
      </c>
      <c r="U113" s="43">
        <f t="shared" si="108"/>
        <v>63.3</v>
      </c>
      <c r="V113" s="43">
        <f t="shared" si="108"/>
        <v>63.3</v>
      </c>
      <c r="W113" s="43">
        <f t="shared" ref="W113" si="109">W70*1+W73</f>
        <v>63.3</v>
      </c>
    </row>
    <row r="114" spans="1:23" x14ac:dyDescent="0.3">
      <c r="A114" s="14" t="s">
        <v>480</v>
      </c>
      <c r="B114" s="43">
        <f>B27*B276</f>
        <v>0</v>
      </c>
      <c r="C114" s="43">
        <f>C27*C276</f>
        <v>0</v>
      </c>
      <c r="D114" s="43">
        <f>D27*D276</f>
        <v>0</v>
      </c>
      <c r="H114" s="43">
        <f>H27*H276</f>
        <v>0</v>
      </c>
      <c r="I114" s="43">
        <f t="shared" ref="I114:W114" si="110">I27*I276</f>
        <v>0</v>
      </c>
      <c r="J114" s="43">
        <f t="shared" si="110"/>
        <v>45</v>
      </c>
      <c r="K114" s="43">
        <f t="shared" si="110"/>
        <v>0</v>
      </c>
      <c r="L114" s="43">
        <f t="shared" si="110"/>
        <v>0</v>
      </c>
      <c r="M114" s="43">
        <f t="shared" si="110"/>
        <v>0</v>
      </c>
      <c r="N114" s="43">
        <f t="shared" si="110"/>
        <v>0</v>
      </c>
      <c r="O114" s="43">
        <f t="shared" si="110"/>
        <v>0</v>
      </c>
      <c r="P114" s="43">
        <f t="shared" si="110"/>
        <v>0</v>
      </c>
      <c r="Q114" s="43">
        <f t="shared" si="110"/>
        <v>0</v>
      </c>
      <c r="R114" s="43">
        <f t="shared" si="110"/>
        <v>0</v>
      </c>
      <c r="S114" s="43">
        <f t="shared" si="110"/>
        <v>0</v>
      </c>
      <c r="T114" s="43">
        <f t="shared" si="110"/>
        <v>0</v>
      </c>
      <c r="U114" s="43">
        <f t="shared" si="110"/>
        <v>0</v>
      </c>
      <c r="V114" s="43">
        <f t="shared" si="110"/>
        <v>0</v>
      </c>
      <c r="W114" s="43">
        <f t="shared" si="110"/>
        <v>0</v>
      </c>
    </row>
    <row r="115" spans="1:23" x14ac:dyDescent="0.3">
      <c r="A115" s="14" t="s">
        <v>481</v>
      </c>
      <c r="B115" s="43">
        <f>B113+B114</f>
        <v>13.699999999999989</v>
      </c>
      <c r="C115" s="43">
        <f>C113+C114</f>
        <v>63.3</v>
      </c>
      <c r="D115" s="43">
        <f>D113+D114</f>
        <v>96.3</v>
      </c>
      <c r="H115" s="43">
        <f t="shared" ref="H115:V115" si="111">H113+H114</f>
        <v>63.3</v>
      </c>
      <c r="I115" s="43">
        <f t="shared" si="111"/>
        <v>63.3</v>
      </c>
      <c r="J115" s="43">
        <f t="shared" si="111"/>
        <v>108.3</v>
      </c>
      <c r="K115" s="43">
        <f t="shared" si="111"/>
        <v>31.799999999999997</v>
      </c>
      <c r="L115" s="43">
        <f t="shared" si="111"/>
        <v>43.3</v>
      </c>
      <c r="M115" s="43">
        <f t="shared" si="111"/>
        <v>63.3</v>
      </c>
      <c r="N115" s="43">
        <f t="shared" si="111"/>
        <v>63.3</v>
      </c>
      <c r="O115" s="43">
        <f t="shared" si="111"/>
        <v>63.3</v>
      </c>
      <c r="P115" s="43">
        <f t="shared" si="111"/>
        <v>63.3</v>
      </c>
      <c r="Q115" s="43">
        <f t="shared" si="111"/>
        <v>63.3</v>
      </c>
      <c r="R115" s="43">
        <f t="shared" si="111"/>
        <v>63.3</v>
      </c>
      <c r="S115" s="43">
        <f t="shared" si="111"/>
        <v>63.3</v>
      </c>
      <c r="T115" s="43">
        <f t="shared" si="111"/>
        <v>63.3</v>
      </c>
      <c r="U115" s="43">
        <f t="shared" si="111"/>
        <v>63.3</v>
      </c>
      <c r="V115" s="43">
        <f t="shared" si="111"/>
        <v>63.3</v>
      </c>
      <c r="W115" s="43">
        <f t="shared" ref="W115" si="112">W113+W114</f>
        <v>63.3</v>
      </c>
    </row>
    <row r="116" spans="1:23" x14ac:dyDescent="0.3">
      <c r="A116" s="14" t="s">
        <v>805</v>
      </c>
      <c r="B116" s="43">
        <f>B71*1+B73-B36*MAX(0,B113)-B110</f>
        <v>40.329999999999991</v>
      </c>
      <c r="C116" s="43">
        <f>C71*1+C73-C36*MAX(0,C113)-C110</f>
        <v>81.17</v>
      </c>
      <c r="D116" s="43">
        <f>D71*1+D73-D36*MAX(0,D113)-D110</f>
        <v>110.87</v>
      </c>
      <c r="H116" s="43">
        <f t="shared" ref="H116:W116" si="113">H71*1+H73-H36*MAX(0,H113)-H110</f>
        <v>81.17</v>
      </c>
      <c r="I116" s="43">
        <f t="shared" si="113"/>
        <v>81.17</v>
      </c>
      <c r="J116" s="43">
        <f t="shared" si="113"/>
        <v>81.17</v>
      </c>
      <c r="K116" s="43">
        <f t="shared" si="113"/>
        <v>52.82</v>
      </c>
      <c r="L116" s="43">
        <f t="shared" si="113"/>
        <v>63.17</v>
      </c>
      <c r="M116" s="43">
        <f t="shared" si="113"/>
        <v>81.17</v>
      </c>
      <c r="N116" s="43">
        <f t="shared" si="113"/>
        <v>81.17</v>
      </c>
      <c r="O116" s="43">
        <f t="shared" si="113"/>
        <v>81.17</v>
      </c>
      <c r="P116" s="43">
        <f t="shared" si="113"/>
        <v>81.17</v>
      </c>
      <c r="Q116" s="43">
        <f t="shared" si="113"/>
        <v>81.17</v>
      </c>
      <c r="R116" s="43">
        <f t="shared" si="113"/>
        <v>81.17</v>
      </c>
      <c r="S116" s="43">
        <f t="shared" si="113"/>
        <v>81.17</v>
      </c>
      <c r="T116" s="43">
        <f t="shared" si="113"/>
        <v>81.17</v>
      </c>
      <c r="U116" s="43">
        <f t="shared" si="113"/>
        <v>81.17</v>
      </c>
      <c r="V116" s="43">
        <f t="shared" si="113"/>
        <v>81.17</v>
      </c>
      <c r="W116" s="43">
        <f t="shared" si="113"/>
        <v>81.17</v>
      </c>
    </row>
    <row r="117" spans="1:23" x14ac:dyDescent="0.3">
      <c r="A117" s="14" t="s">
        <v>482</v>
      </c>
      <c r="B117" s="43">
        <f>B114*(1-B36)-B111</f>
        <v>0</v>
      </c>
      <c r="C117" s="43">
        <f>C114*(1-C36)-C111</f>
        <v>-355.9615</v>
      </c>
      <c r="D117" s="43">
        <f>D114*(1-D36)-D111</f>
        <v>-355.9615</v>
      </c>
      <c r="H117" s="43">
        <f t="shared" ref="H117:V117" si="114">H114*(1-H36)-H111</f>
        <v>-355.9615</v>
      </c>
      <c r="I117" s="43">
        <f t="shared" si="114"/>
        <v>0</v>
      </c>
      <c r="J117" s="43">
        <f t="shared" si="114"/>
        <v>40.5</v>
      </c>
      <c r="K117" s="43">
        <f t="shared" si="114"/>
        <v>-355.9615</v>
      </c>
      <c r="L117" s="43">
        <f t="shared" si="114"/>
        <v>-355.9615</v>
      </c>
      <c r="M117" s="43">
        <f t="shared" si="114"/>
        <v>-355.9615</v>
      </c>
      <c r="N117" s="43">
        <f t="shared" si="114"/>
        <v>-355.9615</v>
      </c>
      <c r="O117" s="43">
        <f t="shared" si="114"/>
        <v>-355.9615</v>
      </c>
      <c r="P117" s="43">
        <f t="shared" si="114"/>
        <v>-355.9615</v>
      </c>
      <c r="Q117" s="43">
        <f t="shared" si="114"/>
        <v>-355.9615</v>
      </c>
      <c r="R117" s="43">
        <f t="shared" si="114"/>
        <v>-355.9615</v>
      </c>
      <c r="S117" s="43">
        <f t="shared" si="114"/>
        <v>-355.9615</v>
      </c>
      <c r="T117" s="43">
        <f t="shared" si="114"/>
        <v>-355.9615</v>
      </c>
      <c r="U117" s="43">
        <f t="shared" si="114"/>
        <v>-355.9615</v>
      </c>
      <c r="V117" s="43">
        <f t="shared" si="114"/>
        <v>-355.9615</v>
      </c>
      <c r="W117" s="43">
        <f t="shared" ref="W117" si="115">W114*(1-W36)-W111</f>
        <v>-355.9615</v>
      </c>
    </row>
    <row r="118" spans="1:23" x14ac:dyDescent="0.3">
      <c r="A118" s="14" t="s">
        <v>483</v>
      </c>
      <c r="B118" s="43">
        <f>B116/(1+B45)^2</f>
        <v>31.911047476454094</v>
      </c>
      <c r="C118" s="43">
        <f>C116/(1+C45)^2</f>
        <v>64.225631630641701</v>
      </c>
      <c r="D118" s="43">
        <f>D116/(1+D45)^2</f>
        <v>87.725708745709554</v>
      </c>
      <c r="H118" s="43">
        <f t="shared" ref="H118:V118" si="116">H116/(1+H45)^2</f>
        <v>64.225631630641701</v>
      </c>
      <c r="I118" s="43">
        <f t="shared" si="116"/>
        <v>64.225631630641701</v>
      </c>
      <c r="J118" s="43">
        <f t="shared" si="116"/>
        <v>64.225631630641701</v>
      </c>
      <c r="K118" s="43">
        <f t="shared" si="116"/>
        <v>41.793739838986006</v>
      </c>
      <c r="L118" s="43">
        <f t="shared" si="116"/>
        <v>49.983160651812689</v>
      </c>
      <c r="M118" s="43">
        <f t="shared" si="116"/>
        <v>63.455655699321667</v>
      </c>
      <c r="N118" s="43">
        <f t="shared" si="116"/>
        <v>64.225631630641701</v>
      </c>
      <c r="O118" s="43">
        <f t="shared" si="116"/>
        <v>64.225631630641701</v>
      </c>
      <c r="P118" s="43">
        <f t="shared" si="116"/>
        <v>64.225631630641701</v>
      </c>
      <c r="Q118" s="43">
        <f t="shared" si="116"/>
        <v>64.225631630641701</v>
      </c>
      <c r="R118" s="43">
        <f t="shared" si="116"/>
        <v>64.225631630641701</v>
      </c>
      <c r="S118" s="43">
        <f t="shared" si="116"/>
        <v>64.225631630641701</v>
      </c>
      <c r="T118" s="43">
        <f t="shared" si="116"/>
        <v>64.225631630641701</v>
      </c>
      <c r="U118" s="43">
        <f t="shared" si="116"/>
        <v>64.225631630641701</v>
      </c>
      <c r="V118" s="43">
        <f t="shared" si="116"/>
        <v>64.225631630641701</v>
      </c>
      <c r="W118" s="43">
        <f t="shared" ref="W118" si="117">W116/(1+W45)^2</f>
        <v>64.225631630641701</v>
      </c>
    </row>
    <row r="119" spans="1:23" x14ac:dyDescent="0.3">
      <c r="A119" s="14" t="s">
        <v>484</v>
      </c>
      <c r="B119" s="43">
        <f>B117/(1+B45)^2</f>
        <v>0</v>
      </c>
      <c r="C119" s="43">
        <f>C117/(1+C45)^2</f>
        <v>-281.65396296280232</v>
      </c>
      <c r="D119" s="43">
        <f>D117/(1+D45)^2</f>
        <v>-281.65396296280232</v>
      </c>
      <c r="H119" s="43">
        <f t="shared" ref="H119:V119" si="118">H117/(1+H45)^2</f>
        <v>-281.65396296280232</v>
      </c>
      <c r="I119" s="43">
        <f t="shared" si="118"/>
        <v>0</v>
      </c>
      <c r="J119" s="43">
        <f t="shared" si="118"/>
        <v>32.045559702365267</v>
      </c>
      <c r="K119" s="43">
        <f t="shared" si="118"/>
        <v>-281.65396296280232</v>
      </c>
      <c r="L119" s="43">
        <f t="shared" si="118"/>
        <v>-281.65396296280232</v>
      </c>
      <c r="M119" s="43">
        <f t="shared" si="118"/>
        <v>-278.27732396469247</v>
      </c>
      <c r="N119" s="43">
        <f t="shared" si="118"/>
        <v>-281.65396296280232</v>
      </c>
      <c r="O119" s="43">
        <f t="shared" si="118"/>
        <v>-281.65396296280232</v>
      </c>
      <c r="P119" s="43">
        <f t="shared" si="118"/>
        <v>-281.65396296280232</v>
      </c>
      <c r="Q119" s="43">
        <f t="shared" si="118"/>
        <v>-281.65396296280232</v>
      </c>
      <c r="R119" s="43">
        <f t="shared" si="118"/>
        <v>-281.65396296280232</v>
      </c>
      <c r="S119" s="43">
        <f t="shared" si="118"/>
        <v>-281.65396296280232</v>
      </c>
      <c r="T119" s="43">
        <f t="shared" si="118"/>
        <v>-281.65396296280232</v>
      </c>
      <c r="U119" s="43">
        <f t="shared" si="118"/>
        <v>-281.65396296280232</v>
      </c>
      <c r="V119" s="43">
        <f t="shared" si="118"/>
        <v>-281.65396296280232</v>
      </c>
      <c r="W119" s="43">
        <f t="shared" ref="W119" si="119">W117/(1+W45)^2</f>
        <v>-281.65396296280232</v>
      </c>
    </row>
    <row r="120" spans="1:23" x14ac:dyDescent="0.3">
      <c r="A120" s="14" t="s">
        <v>485</v>
      </c>
      <c r="B120" s="43">
        <f>IF(B100&gt;0,B16,B38)*B100</f>
        <v>45.846178036217893</v>
      </c>
      <c r="C120" s="43">
        <f>IF(C100&gt;0,C16,C38)*C100</f>
        <v>55.779420874464151</v>
      </c>
      <c r="D120" s="43">
        <f>IF(D100&gt;0,D16,D38)*D100</f>
        <v>60.510090249644236</v>
      </c>
      <c r="H120" s="43">
        <f t="shared" ref="H120:V120" si="120">IF(H100&gt;0,H16,H38)*H100</f>
        <v>55.779420874464151</v>
      </c>
      <c r="I120" s="43">
        <f t="shared" si="120"/>
        <v>55.779420874464151</v>
      </c>
      <c r="J120" s="43">
        <f t="shared" si="120"/>
        <v>5.9448108744641495</v>
      </c>
      <c r="K120" s="43">
        <f t="shared" si="120"/>
        <v>54.787170874464138</v>
      </c>
      <c r="L120" s="43">
        <f t="shared" si="120"/>
        <v>55.149420874464148</v>
      </c>
      <c r="M120" s="43">
        <f t="shared" si="120"/>
        <v>55.779420874464151</v>
      </c>
      <c r="N120" s="43">
        <f t="shared" si="120"/>
        <v>55.779420874464151</v>
      </c>
      <c r="O120" s="43">
        <f t="shared" si="120"/>
        <v>59.629420874464152</v>
      </c>
      <c r="P120" s="43">
        <f t="shared" si="120"/>
        <v>55.374150664186509</v>
      </c>
      <c r="Q120" s="43">
        <f t="shared" si="120"/>
        <v>56.151648599463776</v>
      </c>
      <c r="R120" s="43">
        <f t="shared" si="120"/>
        <v>55.26466029929346</v>
      </c>
      <c r="S120" s="43">
        <f t="shared" si="120"/>
        <v>55.779420874464151</v>
      </c>
      <c r="T120" s="43">
        <f t="shared" si="120"/>
        <v>55.779420874464151</v>
      </c>
      <c r="U120" s="43">
        <f t="shared" si="120"/>
        <v>56.670488964389293</v>
      </c>
      <c r="V120" s="43">
        <f t="shared" si="120"/>
        <v>55.779420874464151</v>
      </c>
      <c r="W120" s="43">
        <f t="shared" ref="W120" si="121">IF(W100&gt;0,W16,W38)*W100</f>
        <v>55.890689915618793</v>
      </c>
    </row>
    <row r="121" spans="1:23" x14ac:dyDescent="0.3">
      <c r="A121" s="14" t="s">
        <v>486</v>
      </c>
      <c r="B121" s="43">
        <f>B106+B115+B120*(1-B37)</f>
        <v>182.55366947543411</v>
      </c>
      <c r="C121" s="43">
        <f>C106+C115+C120*(1-C37)</f>
        <v>307.49428267763562</v>
      </c>
      <c r="D121" s="43">
        <f>D106+D115+D120*(1-D37)</f>
        <v>414.19393841640345</v>
      </c>
      <c r="H121" s="43">
        <f t="shared" ref="H121:V121" si="122">H106+H115+H120*(1-H37)</f>
        <v>307.49428267763562</v>
      </c>
      <c r="I121" s="43">
        <f t="shared" si="122"/>
        <v>307.49428267763562</v>
      </c>
      <c r="J121" s="43">
        <f t="shared" si="122"/>
        <v>312.62659467763564</v>
      </c>
      <c r="K121" s="43">
        <f t="shared" si="122"/>
        <v>275.20048267763559</v>
      </c>
      <c r="L121" s="43">
        <f t="shared" si="122"/>
        <v>286.99028267763561</v>
      </c>
      <c r="M121" s="43">
        <f t="shared" si="122"/>
        <v>307.49428267763562</v>
      </c>
      <c r="N121" s="43">
        <f t="shared" si="122"/>
        <v>307.49428267763562</v>
      </c>
      <c r="O121" s="43">
        <f t="shared" si="122"/>
        <v>310.57428267763561</v>
      </c>
      <c r="P121" s="43">
        <f t="shared" si="122"/>
        <v>286.60694459217621</v>
      </c>
      <c r="Q121" s="43">
        <f t="shared" si="122"/>
        <v>326.67863459810553</v>
      </c>
      <c r="R121" s="43">
        <f t="shared" si="122"/>
        <v>298.66654735359737</v>
      </c>
      <c r="S121" s="43">
        <f t="shared" si="122"/>
        <v>307.49428267763562</v>
      </c>
      <c r="T121" s="43">
        <f t="shared" si="122"/>
        <v>307.49428267763562</v>
      </c>
      <c r="U121" s="43">
        <f t="shared" si="122"/>
        <v>322.7753932229553</v>
      </c>
      <c r="V121" s="43">
        <f t="shared" si="122"/>
        <v>307.49428267763562</v>
      </c>
      <c r="W121" s="43">
        <f t="shared" ref="W121" si="123">W106+W115+W120*(1-W37)</f>
        <v>310.276058424675</v>
      </c>
    </row>
    <row r="122" spans="1:23" x14ac:dyDescent="0.3">
      <c r="A122" s="14" t="s">
        <v>487</v>
      </c>
      <c r="B122" s="27">
        <f>B15*'01_Số liệu gốc'!$B$8/1000</f>
        <v>110</v>
      </c>
      <c r="C122" s="27">
        <f>C15*'01_Số liệu gốc'!$B$8/1000</f>
        <v>165</v>
      </c>
      <c r="D122" s="27">
        <f>D15*'01_Số liệu gốc'!$B$8/1000</f>
        <v>220</v>
      </c>
      <c r="H122" s="27">
        <f>H15*'01_Số liệu gốc'!$B$8/1000</f>
        <v>165</v>
      </c>
      <c r="I122" s="27">
        <f>I15*'01_Số liệu gốc'!$B$8/1000</f>
        <v>165</v>
      </c>
      <c r="J122" s="27">
        <f>J15*'01_Số liệu gốc'!$B$8/1000</f>
        <v>165</v>
      </c>
      <c r="K122" s="27">
        <f>K15*'01_Số liệu gốc'!$B$8/1000</f>
        <v>165</v>
      </c>
      <c r="L122" s="27">
        <f>L15*'01_Số liệu gốc'!$B$8/1000</f>
        <v>165</v>
      </c>
      <c r="M122" s="27">
        <f>M15*'01_Số liệu gốc'!$B$8/1000</f>
        <v>165</v>
      </c>
      <c r="N122" s="27">
        <f>N15*'01_Số liệu gốc'!$B$8/1000</f>
        <v>165</v>
      </c>
      <c r="O122" s="27">
        <f>O15*'01_Số liệu gốc'!$B$8/1000</f>
        <v>110</v>
      </c>
      <c r="P122" s="27">
        <f>P15*'01_Số liệu gốc'!$B$8/1000</f>
        <v>165</v>
      </c>
      <c r="Q122" s="27">
        <f>Q15*'01_Số liệu gốc'!$B$8/1000</f>
        <v>165</v>
      </c>
      <c r="R122" s="27">
        <f>R15*'01_Số liệu gốc'!$B$8/1000</f>
        <v>165</v>
      </c>
      <c r="S122" s="27">
        <f>S15*'01_Số liệu gốc'!$B$8/1000</f>
        <v>165</v>
      </c>
      <c r="T122" s="27">
        <f>T15*'01_Số liệu gốc'!$B$8/1000</f>
        <v>165</v>
      </c>
      <c r="U122" s="27">
        <f>U15*'01_Số liệu gốc'!$B$8/1000</f>
        <v>165</v>
      </c>
      <c r="V122" s="27">
        <f>V15*'01_Số liệu gốc'!$B$8/1000</f>
        <v>165</v>
      </c>
      <c r="W122" s="27">
        <f>W15*'01_Số liệu gốc'!$B$8/1000</f>
        <v>165</v>
      </c>
    </row>
    <row r="123" spans="1:23" x14ac:dyDescent="0.3">
      <c r="A123" s="14" t="s">
        <v>488</v>
      </c>
      <c r="B123" s="43">
        <f>(B69-B24)*1</f>
        <v>28</v>
      </c>
      <c r="C123" s="43">
        <f>(C69-C24)*1</f>
        <v>24.200000000000003</v>
      </c>
      <c r="D123" s="43">
        <f>(D69-D24)*1</f>
        <v>24.200000000000003</v>
      </c>
      <c r="H123" s="43">
        <f t="shared" ref="H123:V123" si="124">(H69-H24)*1</f>
        <v>24.200000000000003</v>
      </c>
      <c r="I123" s="43">
        <f t="shared" si="124"/>
        <v>24.200000000000003</v>
      </c>
      <c r="J123" s="43">
        <f t="shared" si="124"/>
        <v>24.200000000000003</v>
      </c>
      <c r="K123" s="43">
        <f t="shared" si="124"/>
        <v>24.200000000000003</v>
      </c>
      <c r="L123" s="43">
        <f t="shared" si="124"/>
        <v>24.200000000000003</v>
      </c>
      <c r="M123" s="43">
        <f t="shared" si="124"/>
        <v>24.200000000000003</v>
      </c>
      <c r="N123" s="43">
        <f t="shared" si="124"/>
        <v>24.200000000000003</v>
      </c>
      <c r="O123" s="43">
        <f t="shared" si="124"/>
        <v>24.200000000000003</v>
      </c>
      <c r="P123" s="43">
        <f t="shared" si="124"/>
        <v>24.200000000000003</v>
      </c>
      <c r="Q123" s="43">
        <f t="shared" si="124"/>
        <v>24.200000000000003</v>
      </c>
      <c r="R123" s="43">
        <f t="shared" si="124"/>
        <v>24.200000000000003</v>
      </c>
      <c r="S123" s="43">
        <f t="shared" si="124"/>
        <v>24.200000000000003</v>
      </c>
      <c r="T123" s="43">
        <f t="shared" si="124"/>
        <v>24.200000000000003</v>
      </c>
      <c r="U123" s="43">
        <f t="shared" si="124"/>
        <v>24.200000000000003</v>
      </c>
      <c r="V123" s="43">
        <f t="shared" si="124"/>
        <v>24.200000000000003</v>
      </c>
      <c r="W123" s="43">
        <f t="shared" ref="W123" si="125">(W69-W24)*1</f>
        <v>24.200000000000003</v>
      </c>
    </row>
    <row r="124" spans="1:23" x14ac:dyDescent="0.3">
      <c r="A124" s="9" t="s">
        <v>489</v>
      </c>
      <c r="B124" s="67">
        <f>B100+B121*(1-B36)-B122-B112-B107+B123</f>
        <v>787.6241184697044</v>
      </c>
      <c r="C124" s="67">
        <f>C100+C121*(1-C36)-C122-C112-C107+C123</f>
        <v>564.40172404507416</v>
      </c>
      <c r="D124" s="67">
        <f>D100+D121*(1-D36)-D122-D112-D107+D123</f>
        <v>605.23924790335298</v>
      </c>
      <c r="H124" s="67">
        <f t="shared" ref="H124:V124" si="126">H100+H121*(1-H36)-H122-H112-H107+H123</f>
        <v>564.40172404507416</v>
      </c>
      <c r="I124" s="67">
        <f t="shared" si="126"/>
        <v>920.36322404507416</v>
      </c>
      <c r="J124" s="67">
        <f t="shared" si="126"/>
        <v>213.05930484507417</v>
      </c>
      <c r="K124" s="67">
        <f t="shared" si="126"/>
        <v>521.16230404507382</v>
      </c>
      <c r="L124" s="67">
        <f t="shared" si="126"/>
        <v>536.94812404507411</v>
      </c>
      <c r="M124" s="67">
        <f t="shared" si="126"/>
        <v>564.40172404507416</v>
      </c>
      <c r="N124" s="67">
        <f t="shared" si="126"/>
        <v>564.40172404507416</v>
      </c>
      <c r="O124" s="67">
        <f t="shared" si="126"/>
        <v>677.1737240450741</v>
      </c>
      <c r="P124" s="67">
        <f t="shared" si="126"/>
        <v>541.02853339562284</v>
      </c>
      <c r="Q124" s="67">
        <f t="shared" si="126"/>
        <v>585.8692520320634</v>
      </c>
      <c r="R124" s="67">
        <f t="shared" si="126"/>
        <v>549.10303975100123</v>
      </c>
      <c r="S124" s="67">
        <f t="shared" si="126"/>
        <v>564.40172404507416</v>
      </c>
      <c r="T124" s="67">
        <f t="shared" si="126"/>
        <v>564.40172404507416</v>
      </c>
      <c r="U124" s="67">
        <f t="shared" si="126"/>
        <v>590.88426767764963</v>
      </c>
      <c r="V124" s="67">
        <f t="shared" si="126"/>
        <v>564.40172404507416</v>
      </c>
      <c r="W124" s="67">
        <f t="shared" ref="W124" si="127">W100+W121*(1-W36)-W122-W112-W107+W123</f>
        <v>568.49487994819015</v>
      </c>
    </row>
    <row r="125" spans="1:23" x14ac:dyDescent="0.3">
      <c r="A125" s="14" t="s">
        <v>490</v>
      </c>
      <c r="B125" s="43">
        <f>B101+B121*(1-B36)-B122</f>
        <v>2454.4551184697048</v>
      </c>
      <c r="C125" s="43">
        <f>C101+C121*(1-C36)-C122</f>
        <v>2539.1140040450737</v>
      </c>
      <c r="D125" s="43">
        <f>D101+D121*(1-D36)-D122</f>
        <v>2603.306027903353</v>
      </c>
      <c r="H125" s="43">
        <f t="shared" ref="H125:V125" si="128">H101+H121*(1-H36)-H122</f>
        <v>2539.1140040450737</v>
      </c>
      <c r="I125" s="43">
        <f t="shared" si="128"/>
        <v>2539.1140040450737</v>
      </c>
      <c r="J125" s="43">
        <f t="shared" si="128"/>
        <v>2543.7330848450738</v>
      </c>
      <c r="K125" s="43">
        <f t="shared" si="128"/>
        <v>2495.8745840450738</v>
      </c>
      <c r="L125" s="43">
        <f t="shared" si="128"/>
        <v>2511.6604040450738</v>
      </c>
      <c r="M125" s="43">
        <f t="shared" si="128"/>
        <v>2539.1140040450737</v>
      </c>
      <c r="N125" s="43">
        <f t="shared" si="128"/>
        <v>2539.1140040450737</v>
      </c>
      <c r="O125" s="43">
        <f t="shared" si="128"/>
        <v>2651.8860040450736</v>
      </c>
      <c r="P125" s="43">
        <f t="shared" si="128"/>
        <v>2502.3476233356228</v>
      </c>
      <c r="Q125" s="43">
        <f t="shared" si="128"/>
        <v>2572.8827487020626</v>
      </c>
      <c r="R125" s="43">
        <f t="shared" si="128"/>
        <v>2523.815319751001</v>
      </c>
      <c r="S125" s="43">
        <f t="shared" si="128"/>
        <v>2539.1140040450737</v>
      </c>
      <c r="T125" s="43">
        <f t="shared" si="128"/>
        <v>2539.1140040450737</v>
      </c>
      <c r="U125" s="43">
        <f t="shared" si="128"/>
        <v>2565.5965476776496</v>
      </c>
      <c r="V125" s="43">
        <f t="shared" si="128"/>
        <v>2539.1140040450737</v>
      </c>
      <c r="W125" s="43">
        <f t="shared" ref="W125" si="129">W101+W121*(1-W36)-W122</f>
        <v>2543.2071599481897</v>
      </c>
    </row>
    <row r="126" spans="1:23" x14ac:dyDescent="0.3">
      <c r="A126" s="14" t="s">
        <v>491</v>
      </c>
      <c r="B126" s="43">
        <f>B122/(1+B44)^2</f>
        <v>88.919224348720576</v>
      </c>
      <c r="C126" s="43">
        <f>C122/(1+C44)^2</f>
        <v>133.37883652308085</v>
      </c>
      <c r="D126" s="43">
        <f>D122/(1+D44)^2</f>
        <v>177.83844869744115</v>
      </c>
      <c r="H126" s="43">
        <f t="shared" ref="H126:V126" si="130">H122/(1+H44)^2</f>
        <v>133.37883652308085</v>
      </c>
      <c r="I126" s="43">
        <f t="shared" si="130"/>
        <v>133.37883652308085</v>
      </c>
      <c r="J126" s="43">
        <f t="shared" si="130"/>
        <v>133.37883652308085</v>
      </c>
      <c r="K126" s="43">
        <f t="shared" si="130"/>
        <v>133.37883652308085</v>
      </c>
      <c r="L126" s="43">
        <f t="shared" si="130"/>
        <v>133.37883652308085</v>
      </c>
      <c r="M126" s="43">
        <f t="shared" si="130"/>
        <v>132.00802608798617</v>
      </c>
      <c r="N126" s="43">
        <f t="shared" si="130"/>
        <v>130.55598397259922</v>
      </c>
      <c r="O126" s="43">
        <f t="shared" si="130"/>
        <v>88.919224348720576</v>
      </c>
      <c r="P126" s="43">
        <f t="shared" si="130"/>
        <v>133.37883652308085</v>
      </c>
      <c r="Q126" s="43">
        <f t="shared" si="130"/>
        <v>133.37883652308085</v>
      </c>
      <c r="R126" s="43">
        <f t="shared" si="130"/>
        <v>133.37883652308085</v>
      </c>
      <c r="S126" s="43">
        <f t="shared" si="130"/>
        <v>133.37883652308085</v>
      </c>
      <c r="T126" s="43">
        <f t="shared" si="130"/>
        <v>133.37883652308085</v>
      </c>
      <c r="U126" s="43">
        <f t="shared" si="130"/>
        <v>133.37883652308085</v>
      </c>
      <c r="V126" s="43">
        <f t="shared" si="130"/>
        <v>134.93691380337899</v>
      </c>
      <c r="W126" s="43">
        <f t="shared" ref="W126" si="131">W122/(1+W44)^2</f>
        <v>133.37883652308085</v>
      </c>
    </row>
    <row r="127" spans="1:23" x14ac:dyDescent="0.3">
      <c r="A127" s="51" t="s">
        <v>807</v>
      </c>
      <c r="B127" s="52"/>
      <c r="C127" s="52"/>
      <c r="D127" s="52"/>
      <c r="E127" s="52"/>
      <c r="F127" s="52"/>
      <c r="G127" s="52"/>
      <c r="H127" s="52"/>
      <c r="I127" s="52"/>
      <c r="J127" s="52"/>
      <c r="K127" s="52"/>
      <c r="L127" s="52"/>
      <c r="M127" s="52"/>
      <c r="N127" s="52"/>
      <c r="O127" s="52"/>
      <c r="P127" s="52"/>
      <c r="Q127" s="52"/>
      <c r="R127" s="52"/>
      <c r="S127" s="52"/>
      <c r="T127" s="52"/>
      <c r="U127" s="52"/>
      <c r="V127" s="52"/>
      <c r="W127" s="52"/>
    </row>
    <row r="128" spans="1:23" x14ac:dyDescent="0.3">
      <c r="A128" s="14" t="s">
        <v>472</v>
      </c>
      <c r="B128" s="43">
        <f>B6*(1+B11)^2</f>
        <v>2200</v>
      </c>
      <c r="C128" s="43">
        <f>C6*(1+C11)^2</f>
        <v>2599.2049999999999</v>
      </c>
      <c r="D128" s="43">
        <f>D6*(1+D11)^2</f>
        <v>2976.75</v>
      </c>
      <c r="H128" s="43">
        <f t="shared" ref="H128:V128" si="132">H6*(1+H11)^2</f>
        <v>2599.2049999999999</v>
      </c>
      <c r="I128" s="43">
        <f t="shared" si="132"/>
        <v>2599.2049999999999</v>
      </c>
      <c r="J128" s="43">
        <f t="shared" si="132"/>
        <v>2599.2049999999999</v>
      </c>
      <c r="K128" s="43">
        <f t="shared" si="132"/>
        <v>2599.2049999999999</v>
      </c>
      <c r="L128" s="43">
        <f t="shared" si="132"/>
        <v>2599.2049999999999</v>
      </c>
      <c r="M128" s="43">
        <f t="shared" si="132"/>
        <v>2599.2049999999999</v>
      </c>
      <c r="N128" s="43">
        <f t="shared" si="132"/>
        <v>2599.2049999999999</v>
      </c>
      <c r="O128" s="43">
        <f t="shared" si="132"/>
        <v>2599.2049999999999</v>
      </c>
      <c r="P128" s="43">
        <f t="shared" si="132"/>
        <v>2298.7432674000001</v>
      </c>
      <c r="Q128" s="43">
        <f t="shared" si="132"/>
        <v>2875.1694906999996</v>
      </c>
      <c r="R128" s="43">
        <f t="shared" si="132"/>
        <v>2599.2049999999999</v>
      </c>
      <c r="S128" s="43">
        <f t="shared" si="132"/>
        <v>2599.2049999999999</v>
      </c>
      <c r="T128" s="43">
        <f t="shared" si="132"/>
        <v>2599.2049999999999</v>
      </c>
      <c r="U128" s="43">
        <f t="shared" si="132"/>
        <v>2599.2049999999999</v>
      </c>
      <c r="V128" s="43">
        <f t="shared" si="132"/>
        <v>2599.2049999999999</v>
      </c>
      <c r="W128" s="43">
        <f t="shared" ref="W128" si="133">W6*(1+W11)^2</f>
        <v>2599.2049999999999</v>
      </c>
    </row>
    <row r="129" spans="1:23" x14ac:dyDescent="0.3">
      <c r="A129" s="14" t="s">
        <v>473</v>
      </c>
      <c r="B129" s="43">
        <f>B40*B7+(B53-B9)*B128-B42*(1+B35)^2</f>
        <v>144.0440506005053</v>
      </c>
      <c r="C129" s="43">
        <f>C40*C7+(C53-C9)*C128-C42*(1+C35)^2</f>
        <v>223.96776742572112</v>
      </c>
      <c r="D129" s="43">
        <f>D40*D7+(D53-D9)*D128-D42*(1+D35)^2</f>
        <v>308.74863025002475</v>
      </c>
      <c r="H129" s="43">
        <f t="shared" ref="H129:V129" si="134">H40*H7+(H53-H9)*H128-H42*(1+H35)^2</f>
        <v>223.96776742572112</v>
      </c>
      <c r="I129" s="43">
        <f t="shared" si="134"/>
        <v>223.96776742572112</v>
      </c>
      <c r="J129" s="43">
        <f t="shared" si="134"/>
        <v>223.96776742572112</v>
      </c>
      <c r="K129" s="43">
        <f t="shared" si="134"/>
        <v>223.96776742572112</v>
      </c>
      <c r="L129" s="43">
        <f t="shared" si="134"/>
        <v>223.96776742572112</v>
      </c>
      <c r="M129" s="43">
        <f t="shared" si="134"/>
        <v>223.96776742572112</v>
      </c>
      <c r="N129" s="43">
        <f t="shared" si="134"/>
        <v>223.96776742572112</v>
      </c>
      <c r="O129" s="43">
        <f t="shared" si="134"/>
        <v>223.96776742572112</v>
      </c>
      <c r="P129" s="43">
        <f t="shared" si="134"/>
        <v>200.69302503588108</v>
      </c>
      <c r="Q129" s="43">
        <f t="shared" si="134"/>
        <v>245.34487383526434</v>
      </c>
      <c r="R129" s="43">
        <f t="shared" si="134"/>
        <v>214.44204800833788</v>
      </c>
      <c r="S129" s="43">
        <f t="shared" si="134"/>
        <v>223.96776742572112</v>
      </c>
      <c r="T129" s="43">
        <f t="shared" si="134"/>
        <v>223.96776742572112</v>
      </c>
      <c r="U129" s="43">
        <f t="shared" si="134"/>
        <v>240.45711221207378</v>
      </c>
      <c r="V129" s="43">
        <f t="shared" si="134"/>
        <v>223.96776742572112</v>
      </c>
      <c r="W129" s="43">
        <f t="shared" ref="W129" si="135">W40*W7+(W53-W9)*W128-W42*(1+W35)^2</f>
        <v>227.97561723840144</v>
      </c>
    </row>
    <row r="130" spans="1:23" x14ac:dyDescent="0.3">
      <c r="A130" s="14" t="s">
        <v>474</v>
      </c>
      <c r="B130" s="43">
        <f>B129*(1-B10)</f>
        <v>131.08008604645983</v>
      </c>
      <c r="C130" s="43">
        <f>C129*(1-C10)</f>
        <v>203.81066835740623</v>
      </c>
      <c r="D130" s="43">
        <f>D129*(1-D10)</f>
        <v>280.9612535275225</v>
      </c>
      <c r="H130" s="43">
        <f t="shared" ref="H130:V130" si="136">H129*(1-H10)</f>
        <v>203.81066835740623</v>
      </c>
      <c r="I130" s="43">
        <f t="shared" si="136"/>
        <v>203.81066835740623</v>
      </c>
      <c r="J130" s="43">
        <f t="shared" si="136"/>
        <v>203.81066835740623</v>
      </c>
      <c r="K130" s="43">
        <f t="shared" si="136"/>
        <v>203.81066835740623</v>
      </c>
      <c r="L130" s="43">
        <f t="shared" si="136"/>
        <v>203.81066835740623</v>
      </c>
      <c r="M130" s="43">
        <f t="shared" si="136"/>
        <v>203.81066835740623</v>
      </c>
      <c r="N130" s="43">
        <f t="shared" si="136"/>
        <v>203.81066835740623</v>
      </c>
      <c r="O130" s="43">
        <f t="shared" si="136"/>
        <v>203.81066835740623</v>
      </c>
      <c r="P130" s="43">
        <f t="shared" si="136"/>
        <v>182.63065278265179</v>
      </c>
      <c r="Q130" s="43">
        <f t="shared" si="136"/>
        <v>223.26383519009056</v>
      </c>
      <c r="R130" s="43">
        <f t="shared" si="136"/>
        <v>195.14226368758747</v>
      </c>
      <c r="S130" s="43">
        <f t="shared" si="136"/>
        <v>203.81066835740623</v>
      </c>
      <c r="T130" s="43">
        <f t="shared" si="136"/>
        <v>203.81066835740623</v>
      </c>
      <c r="U130" s="43">
        <f t="shared" si="136"/>
        <v>218.81597211298714</v>
      </c>
      <c r="V130" s="43">
        <f t="shared" si="136"/>
        <v>203.81066835740623</v>
      </c>
      <c r="W130" s="43">
        <f t="shared" ref="W130" si="137">W129*(1-W10)</f>
        <v>207.45781168694532</v>
      </c>
    </row>
    <row r="131" spans="1:23" x14ac:dyDescent="0.3">
      <c r="A131" s="14" t="s">
        <v>803</v>
      </c>
      <c r="B131" s="43">
        <f>(B46-B47)*(B128+B7)+B48*IF((B128-B104)&lt;0,B49,1)*(B128-B104)</f>
        <v>0</v>
      </c>
      <c r="C131" s="43">
        <f>(C46-C47)*(C128+C7)+C48*IF((C128-C104)&lt;0,C49,1)*(C128-C104)</f>
        <v>12.745814999999993</v>
      </c>
      <c r="D131" s="43">
        <f>(D46-D47)*(D128+D7)+D48*IF((D128-D104)&lt;0,D49,1)*(D128-D104)</f>
        <v>23.553750000000001</v>
      </c>
      <c r="H131" s="43">
        <f t="shared" ref="H131:W131" si="138">(H46-H47)*(H128+H7)+H48*IF((H128-H104)&lt;0,H49,1)*(H128-H104)</f>
        <v>12.745814999999993</v>
      </c>
      <c r="I131" s="43">
        <f t="shared" si="138"/>
        <v>12.745814999999993</v>
      </c>
      <c r="J131" s="43">
        <f t="shared" si="138"/>
        <v>12.745814999999993</v>
      </c>
      <c r="K131" s="43">
        <f t="shared" si="138"/>
        <v>12.745814999999993</v>
      </c>
      <c r="L131" s="43">
        <f t="shared" si="138"/>
        <v>12.745814999999993</v>
      </c>
      <c r="M131" s="43">
        <f t="shared" si="138"/>
        <v>12.745814999999993</v>
      </c>
      <c r="N131" s="43">
        <f t="shared" si="138"/>
        <v>12.745814999999993</v>
      </c>
      <c r="O131" s="43">
        <f t="shared" si="138"/>
        <v>12.745814999999993</v>
      </c>
      <c r="P131" s="43">
        <f t="shared" si="138"/>
        <v>11.4943772982</v>
      </c>
      <c r="Q131" s="43">
        <f t="shared" si="138"/>
        <v>13.895220500099992</v>
      </c>
      <c r="R131" s="43">
        <f t="shared" si="138"/>
        <v>12.745814999999993</v>
      </c>
      <c r="S131" s="43">
        <f t="shared" si="138"/>
        <v>12.745814999999993</v>
      </c>
      <c r="T131" s="43">
        <f t="shared" si="138"/>
        <v>12.745814999999993</v>
      </c>
      <c r="U131" s="43">
        <f t="shared" si="138"/>
        <v>12.745814999999993</v>
      </c>
      <c r="V131" s="43">
        <f t="shared" si="138"/>
        <v>12.745814999999993</v>
      </c>
      <c r="W131" s="43">
        <f t="shared" si="138"/>
        <v>12.745814999999993</v>
      </c>
    </row>
    <row r="132" spans="1:23" x14ac:dyDescent="0.3">
      <c r="A132" s="9" t="s">
        <v>475</v>
      </c>
      <c r="B132" s="67">
        <f>B130*(1-B36)-B131</f>
        <v>117.97207744181385</v>
      </c>
      <c r="C132" s="67">
        <f>C130*(1-C36)-C131</f>
        <v>170.68378652166561</v>
      </c>
      <c r="D132" s="67">
        <f>D130*(1-D36)-D131</f>
        <v>229.31137817477025</v>
      </c>
      <c r="H132" s="67">
        <f t="shared" ref="H132:V132" si="139">H130*(1-H36)-H131</f>
        <v>170.68378652166561</v>
      </c>
      <c r="I132" s="67">
        <f t="shared" si="139"/>
        <v>170.68378652166561</v>
      </c>
      <c r="J132" s="67">
        <f t="shared" si="139"/>
        <v>170.68378652166561</v>
      </c>
      <c r="K132" s="67">
        <f t="shared" si="139"/>
        <v>170.68378652166561</v>
      </c>
      <c r="L132" s="67">
        <f t="shared" si="139"/>
        <v>170.68378652166561</v>
      </c>
      <c r="M132" s="67">
        <f t="shared" si="139"/>
        <v>170.68378652166561</v>
      </c>
      <c r="N132" s="67">
        <f t="shared" si="139"/>
        <v>170.68378652166561</v>
      </c>
      <c r="O132" s="67">
        <f t="shared" si="139"/>
        <v>170.68378652166561</v>
      </c>
      <c r="P132" s="67">
        <f t="shared" si="139"/>
        <v>152.87321020618663</v>
      </c>
      <c r="Q132" s="67">
        <f t="shared" si="139"/>
        <v>187.04223117098152</v>
      </c>
      <c r="R132" s="67">
        <f t="shared" si="139"/>
        <v>162.88222231882872</v>
      </c>
      <c r="S132" s="67">
        <f t="shared" si="139"/>
        <v>170.68378652166561</v>
      </c>
      <c r="T132" s="67">
        <f t="shared" si="139"/>
        <v>170.68378652166561</v>
      </c>
      <c r="U132" s="67">
        <f t="shared" si="139"/>
        <v>184.18855990168845</v>
      </c>
      <c r="V132" s="67">
        <f t="shared" si="139"/>
        <v>170.68378652166561</v>
      </c>
      <c r="W132" s="67">
        <f t="shared" ref="W132" si="140">W130*(1-W36)-W131</f>
        <v>173.96621551825081</v>
      </c>
    </row>
    <row r="133" spans="1:23" x14ac:dyDescent="0.3">
      <c r="A133" s="14" t="s">
        <v>804</v>
      </c>
      <c r="B133" s="43">
        <f>B132/(1+B44)^2.5</f>
        <v>90.423841399028248</v>
      </c>
      <c r="C133" s="43">
        <f>C132/(1+C44)^2.5</f>
        <v>130.82658181918498</v>
      </c>
      <c r="D133" s="43">
        <f>D132/(1+D44)^2.5</f>
        <v>175.76375817654844</v>
      </c>
      <c r="H133" s="43">
        <f t="shared" ref="H133:W133" si="141">H132/(1+H44)^2.5</f>
        <v>130.82658181918498</v>
      </c>
      <c r="I133" s="43">
        <f t="shared" si="141"/>
        <v>130.82658181918498</v>
      </c>
      <c r="J133" s="43">
        <f t="shared" si="141"/>
        <v>130.82658181918498</v>
      </c>
      <c r="K133" s="43">
        <f t="shared" si="141"/>
        <v>130.82658181918498</v>
      </c>
      <c r="L133" s="43">
        <f t="shared" si="141"/>
        <v>130.82658181918498</v>
      </c>
      <c r="M133" s="43">
        <f t="shared" si="141"/>
        <v>129.14802229170084</v>
      </c>
      <c r="N133" s="43">
        <f t="shared" si="141"/>
        <v>127.37474174533774</v>
      </c>
      <c r="O133" s="43">
        <f t="shared" si="141"/>
        <v>130.82658181918498</v>
      </c>
      <c r="P133" s="43">
        <f t="shared" si="141"/>
        <v>117.17504017560843</v>
      </c>
      <c r="Q133" s="43">
        <f t="shared" si="141"/>
        <v>143.36508615495961</v>
      </c>
      <c r="R133" s="43">
        <f t="shared" si="141"/>
        <v>124.84679898040605</v>
      </c>
      <c r="S133" s="43">
        <f t="shared" si="141"/>
        <v>130.82658181918498</v>
      </c>
      <c r="T133" s="43">
        <f t="shared" si="141"/>
        <v>130.82658181918498</v>
      </c>
      <c r="U133" s="43">
        <f t="shared" si="141"/>
        <v>141.17778960263104</v>
      </c>
      <c r="V133" s="43">
        <f t="shared" si="141"/>
        <v>132.73969177394804</v>
      </c>
      <c r="W133" s="43">
        <f t="shared" si="141"/>
        <v>133.34251478762138</v>
      </c>
    </row>
    <row r="134" spans="1:23" x14ac:dyDescent="0.3">
      <c r="A134" s="14" t="s">
        <v>476</v>
      </c>
      <c r="B134" s="43">
        <f>0</f>
        <v>0</v>
      </c>
      <c r="C134" s="43">
        <f>0</f>
        <v>0</v>
      </c>
      <c r="D134" s="43">
        <f>0</f>
        <v>0</v>
      </c>
      <c r="H134" s="43">
        <f>0</f>
        <v>0</v>
      </c>
      <c r="I134" s="43">
        <f>0</f>
        <v>0</v>
      </c>
      <c r="J134" s="43">
        <f>0</f>
        <v>0</v>
      </c>
      <c r="K134" s="43">
        <f>0</f>
        <v>0</v>
      </c>
      <c r="L134" s="43">
        <f>0</f>
        <v>0</v>
      </c>
      <c r="M134" s="43">
        <f>0</f>
        <v>0</v>
      </c>
      <c r="N134" s="43">
        <f>0</f>
        <v>0</v>
      </c>
      <c r="O134" s="43">
        <f>0</f>
        <v>0</v>
      </c>
      <c r="P134" s="43">
        <f>0</f>
        <v>0</v>
      </c>
      <c r="Q134" s="43">
        <f>0</f>
        <v>0</v>
      </c>
      <c r="R134" s="43">
        <f>0</f>
        <v>0</v>
      </c>
      <c r="S134" s="43">
        <f>0</f>
        <v>0</v>
      </c>
      <c r="T134" s="43">
        <f>0</f>
        <v>0</v>
      </c>
      <c r="U134" s="43">
        <f>0</f>
        <v>0</v>
      </c>
      <c r="V134" s="43">
        <f>0</f>
        <v>0</v>
      </c>
      <c r="W134" s="43">
        <f>0</f>
        <v>0</v>
      </c>
    </row>
    <row r="135" spans="1:23" x14ac:dyDescent="0.3">
      <c r="A135" s="14" t="s">
        <v>477</v>
      </c>
      <c r="B135" s="43">
        <f>B74*(IF(B29-2029=1,0.5,0)+IF(B29-2029=2,0.5,0)+IF(AND(B29=2028,2029=2027),0.5,0))</f>
        <v>0</v>
      </c>
      <c r="C135" s="43">
        <f>C74*(IF(C29-2029=1,0.5,0)+IF(C29-2029=2,0.5,0)+IF(AND(C29=2028,2029=2027),0.5,0))</f>
        <v>355.9615</v>
      </c>
      <c r="D135" s="43">
        <f>D74*(IF(D29-2029=1,0.5,0)+IF(D29-2029=2,0.5,0)+IF(AND(D29=2028,2029=2027),0.5,0))</f>
        <v>355.9615</v>
      </c>
      <c r="H135" s="43">
        <f t="shared" ref="H135:V135" si="142">H74*(IF(H29-2029=1,0.5,0)+IF(H29-2029=2,0.5,0)+IF(AND(H29=2028,2029=2027),0.5,0))</f>
        <v>355.9615</v>
      </c>
      <c r="I135" s="43">
        <f t="shared" si="142"/>
        <v>0</v>
      </c>
      <c r="J135" s="43">
        <f t="shared" si="142"/>
        <v>0</v>
      </c>
      <c r="K135" s="43">
        <f t="shared" si="142"/>
        <v>355.9615</v>
      </c>
      <c r="L135" s="43">
        <f t="shared" si="142"/>
        <v>355.9615</v>
      </c>
      <c r="M135" s="43">
        <f t="shared" si="142"/>
        <v>355.9615</v>
      </c>
      <c r="N135" s="43">
        <f t="shared" si="142"/>
        <v>355.9615</v>
      </c>
      <c r="O135" s="43">
        <f t="shared" si="142"/>
        <v>355.9615</v>
      </c>
      <c r="P135" s="43">
        <f t="shared" si="142"/>
        <v>355.9615</v>
      </c>
      <c r="Q135" s="43">
        <f t="shared" si="142"/>
        <v>355.9615</v>
      </c>
      <c r="R135" s="43">
        <f t="shared" si="142"/>
        <v>355.9615</v>
      </c>
      <c r="S135" s="43">
        <f t="shared" si="142"/>
        <v>355.9615</v>
      </c>
      <c r="T135" s="43">
        <f t="shared" si="142"/>
        <v>355.9615</v>
      </c>
      <c r="U135" s="43">
        <f t="shared" si="142"/>
        <v>355.9615</v>
      </c>
      <c r="V135" s="43">
        <f t="shared" si="142"/>
        <v>355.9615</v>
      </c>
      <c r="W135" s="43">
        <f t="shared" ref="W135" si="143">W74*(IF(W29-2029=1,0.5,0)+IF(W29-2029=2,0.5,0)+IF(AND(W29=2028,2029=2027),0.5,0))</f>
        <v>355.9615</v>
      </c>
    </row>
    <row r="136" spans="1:23" x14ac:dyDescent="0.3">
      <c r="A136" s="14" t="s">
        <v>478</v>
      </c>
      <c r="B136" s="43">
        <f>B134+B135</f>
        <v>0</v>
      </c>
      <c r="C136" s="43">
        <f>C134+C135</f>
        <v>355.9615</v>
      </c>
      <c r="D136" s="43">
        <f>D134+D135</f>
        <v>355.9615</v>
      </c>
      <c r="H136" s="43">
        <f t="shared" ref="H136:V136" si="144">H134+H135</f>
        <v>355.9615</v>
      </c>
      <c r="I136" s="43">
        <f t="shared" si="144"/>
        <v>0</v>
      </c>
      <c r="J136" s="43">
        <f t="shared" si="144"/>
        <v>0</v>
      </c>
      <c r="K136" s="43">
        <f t="shared" si="144"/>
        <v>355.9615</v>
      </c>
      <c r="L136" s="43">
        <f t="shared" si="144"/>
        <v>355.9615</v>
      </c>
      <c r="M136" s="43">
        <f t="shared" si="144"/>
        <v>355.9615</v>
      </c>
      <c r="N136" s="43">
        <f t="shared" si="144"/>
        <v>355.9615</v>
      </c>
      <c r="O136" s="43">
        <f t="shared" si="144"/>
        <v>355.9615</v>
      </c>
      <c r="P136" s="43">
        <f t="shared" si="144"/>
        <v>355.9615</v>
      </c>
      <c r="Q136" s="43">
        <f t="shared" si="144"/>
        <v>355.9615</v>
      </c>
      <c r="R136" s="43">
        <f t="shared" si="144"/>
        <v>355.9615</v>
      </c>
      <c r="S136" s="43">
        <f t="shared" si="144"/>
        <v>355.9615</v>
      </c>
      <c r="T136" s="43">
        <f t="shared" si="144"/>
        <v>355.9615</v>
      </c>
      <c r="U136" s="43">
        <f t="shared" si="144"/>
        <v>355.9615</v>
      </c>
      <c r="V136" s="43">
        <f t="shared" si="144"/>
        <v>355.9615</v>
      </c>
      <c r="W136" s="43">
        <f t="shared" ref="W136" si="145">W134+W135</f>
        <v>355.9615</v>
      </c>
    </row>
    <row r="137" spans="1:23" x14ac:dyDescent="0.3">
      <c r="A137" s="14" t="s">
        <v>479</v>
      </c>
      <c r="B137" s="43">
        <f>B70*1+B73</f>
        <v>13.699999999999989</v>
      </c>
      <c r="C137" s="43">
        <f>C70*1+C73</f>
        <v>63.3</v>
      </c>
      <c r="D137" s="43">
        <f>D70*1+D73</f>
        <v>96.3</v>
      </c>
      <c r="H137" s="43">
        <f t="shared" ref="H137:V137" si="146">H70*1+H73</f>
        <v>63.3</v>
      </c>
      <c r="I137" s="43">
        <f t="shared" si="146"/>
        <v>63.3</v>
      </c>
      <c r="J137" s="43">
        <f t="shared" si="146"/>
        <v>63.3</v>
      </c>
      <c r="K137" s="43">
        <f t="shared" si="146"/>
        <v>31.799999999999997</v>
      </c>
      <c r="L137" s="43">
        <f t="shared" si="146"/>
        <v>43.3</v>
      </c>
      <c r="M137" s="43">
        <f t="shared" si="146"/>
        <v>63.3</v>
      </c>
      <c r="N137" s="43">
        <f t="shared" si="146"/>
        <v>63.3</v>
      </c>
      <c r="O137" s="43">
        <f t="shared" si="146"/>
        <v>63.3</v>
      </c>
      <c r="P137" s="43">
        <f t="shared" si="146"/>
        <v>63.3</v>
      </c>
      <c r="Q137" s="43">
        <f t="shared" si="146"/>
        <v>63.3</v>
      </c>
      <c r="R137" s="43">
        <f t="shared" si="146"/>
        <v>63.3</v>
      </c>
      <c r="S137" s="43">
        <f t="shared" si="146"/>
        <v>63.3</v>
      </c>
      <c r="T137" s="43">
        <f t="shared" si="146"/>
        <v>63.3</v>
      </c>
      <c r="U137" s="43">
        <f t="shared" si="146"/>
        <v>63.3</v>
      </c>
      <c r="V137" s="43">
        <f t="shared" si="146"/>
        <v>63.3</v>
      </c>
      <c r="W137" s="43">
        <f t="shared" ref="W137" si="147">W70*1+W73</f>
        <v>63.3</v>
      </c>
    </row>
    <row r="138" spans="1:23" x14ac:dyDescent="0.3">
      <c r="A138" s="14" t="s">
        <v>480</v>
      </c>
      <c r="B138" s="43">
        <f>B27*B277</f>
        <v>0</v>
      </c>
      <c r="C138" s="43">
        <f>C27*C277</f>
        <v>0</v>
      </c>
      <c r="D138" s="43">
        <f>D27*D277</f>
        <v>0</v>
      </c>
      <c r="H138" s="43">
        <f>H27*H277</f>
        <v>0</v>
      </c>
      <c r="I138" s="43">
        <f t="shared" ref="I138:W138" si="148">I27*I277</f>
        <v>0</v>
      </c>
      <c r="J138" s="43">
        <f t="shared" si="148"/>
        <v>49.5</v>
      </c>
      <c r="K138" s="43">
        <f t="shared" si="148"/>
        <v>0</v>
      </c>
      <c r="L138" s="43">
        <f t="shared" si="148"/>
        <v>0</v>
      </c>
      <c r="M138" s="43">
        <f t="shared" si="148"/>
        <v>0</v>
      </c>
      <c r="N138" s="43">
        <f t="shared" si="148"/>
        <v>0</v>
      </c>
      <c r="O138" s="43">
        <f t="shared" si="148"/>
        <v>0</v>
      </c>
      <c r="P138" s="43">
        <f t="shared" si="148"/>
        <v>0</v>
      </c>
      <c r="Q138" s="43">
        <f t="shared" si="148"/>
        <v>0</v>
      </c>
      <c r="R138" s="43">
        <f t="shared" si="148"/>
        <v>0</v>
      </c>
      <c r="S138" s="43">
        <f t="shared" si="148"/>
        <v>0</v>
      </c>
      <c r="T138" s="43">
        <f t="shared" si="148"/>
        <v>0</v>
      </c>
      <c r="U138" s="43">
        <f t="shared" si="148"/>
        <v>0</v>
      </c>
      <c r="V138" s="43">
        <f t="shared" si="148"/>
        <v>0</v>
      </c>
      <c r="W138" s="43">
        <f t="shared" si="148"/>
        <v>0</v>
      </c>
    </row>
    <row r="139" spans="1:23" x14ac:dyDescent="0.3">
      <c r="A139" s="14" t="s">
        <v>481</v>
      </c>
      <c r="B139" s="43">
        <f>B137+B138</f>
        <v>13.699999999999989</v>
      </c>
      <c r="C139" s="43">
        <f>C137+C138</f>
        <v>63.3</v>
      </c>
      <c r="D139" s="43">
        <f>D137+D138</f>
        <v>96.3</v>
      </c>
      <c r="H139" s="43">
        <f t="shared" ref="H139:V139" si="149">H137+H138</f>
        <v>63.3</v>
      </c>
      <c r="I139" s="43">
        <f t="shared" si="149"/>
        <v>63.3</v>
      </c>
      <c r="J139" s="43">
        <f t="shared" si="149"/>
        <v>112.8</v>
      </c>
      <c r="K139" s="43">
        <f t="shared" si="149"/>
        <v>31.799999999999997</v>
      </c>
      <c r="L139" s="43">
        <f t="shared" si="149"/>
        <v>43.3</v>
      </c>
      <c r="M139" s="43">
        <f t="shared" si="149"/>
        <v>63.3</v>
      </c>
      <c r="N139" s="43">
        <f t="shared" si="149"/>
        <v>63.3</v>
      </c>
      <c r="O139" s="43">
        <f t="shared" si="149"/>
        <v>63.3</v>
      </c>
      <c r="P139" s="43">
        <f t="shared" si="149"/>
        <v>63.3</v>
      </c>
      <c r="Q139" s="43">
        <f t="shared" si="149"/>
        <v>63.3</v>
      </c>
      <c r="R139" s="43">
        <f t="shared" si="149"/>
        <v>63.3</v>
      </c>
      <c r="S139" s="43">
        <f t="shared" si="149"/>
        <v>63.3</v>
      </c>
      <c r="T139" s="43">
        <f t="shared" si="149"/>
        <v>63.3</v>
      </c>
      <c r="U139" s="43">
        <f t="shared" si="149"/>
        <v>63.3</v>
      </c>
      <c r="V139" s="43">
        <f t="shared" si="149"/>
        <v>63.3</v>
      </c>
      <c r="W139" s="43">
        <f t="shared" ref="W139" si="150">W137+W138</f>
        <v>63.3</v>
      </c>
    </row>
    <row r="140" spans="1:23" x14ac:dyDescent="0.3">
      <c r="A140" s="14" t="s">
        <v>805</v>
      </c>
      <c r="B140" s="43">
        <f>B71*1+B73-B36*MAX(0,B137)-B134</f>
        <v>40.329999999999991</v>
      </c>
      <c r="C140" s="43">
        <f>C71*1+C73-C36*MAX(0,C137)-C134</f>
        <v>81.17</v>
      </c>
      <c r="D140" s="43">
        <f>D71*1+D73-D36*MAX(0,D137)-D134</f>
        <v>110.87</v>
      </c>
      <c r="H140" s="43">
        <f t="shared" ref="H140:W140" si="151">H71*1+H73-H36*MAX(0,H137)-H134</f>
        <v>81.17</v>
      </c>
      <c r="I140" s="43">
        <f t="shared" si="151"/>
        <v>81.17</v>
      </c>
      <c r="J140" s="43">
        <f t="shared" si="151"/>
        <v>81.17</v>
      </c>
      <c r="K140" s="43">
        <f t="shared" si="151"/>
        <v>52.82</v>
      </c>
      <c r="L140" s="43">
        <f t="shared" si="151"/>
        <v>63.17</v>
      </c>
      <c r="M140" s="43">
        <f t="shared" si="151"/>
        <v>81.17</v>
      </c>
      <c r="N140" s="43">
        <f t="shared" si="151"/>
        <v>81.17</v>
      </c>
      <c r="O140" s="43">
        <f t="shared" si="151"/>
        <v>81.17</v>
      </c>
      <c r="P140" s="43">
        <f t="shared" si="151"/>
        <v>81.17</v>
      </c>
      <c r="Q140" s="43">
        <f t="shared" si="151"/>
        <v>81.17</v>
      </c>
      <c r="R140" s="43">
        <f t="shared" si="151"/>
        <v>81.17</v>
      </c>
      <c r="S140" s="43">
        <f t="shared" si="151"/>
        <v>81.17</v>
      </c>
      <c r="T140" s="43">
        <f t="shared" si="151"/>
        <v>81.17</v>
      </c>
      <c r="U140" s="43">
        <f t="shared" si="151"/>
        <v>81.17</v>
      </c>
      <c r="V140" s="43">
        <f t="shared" si="151"/>
        <v>81.17</v>
      </c>
      <c r="W140" s="43">
        <f t="shared" si="151"/>
        <v>81.17</v>
      </c>
    </row>
    <row r="141" spans="1:23" x14ac:dyDescent="0.3">
      <c r="A141" s="14" t="s">
        <v>482</v>
      </c>
      <c r="B141" s="43">
        <f>B138*(1-B36)-B135</f>
        <v>0</v>
      </c>
      <c r="C141" s="43">
        <f>C138*(1-C36)-C135</f>
        <v>-355.9615</v>
      </c>
      <c r="D141" s="43">
        <f>D138*(1-D36)-D135</f>
        <v>-355.9615</v>
      </c>
      <c r="H141" s="43">
        <f t="shared" ref="H141:V141" si="152">H138*(1-H36)-H135</f>
        <v>-355.9615</v>
      </c>
      <c r="I141" s="43">
        <f t="shared" si="152"/>
        <v>0</v>
      </c>
      <c r="J141" s="43">
        <f t="shared" si="152"/>
        <v>44.550000000000004</v>
      </c>
      <c r="K141" s="43">
        <f t="shared" si="152"/>
        <v>-355.9615</v>
      </c>
      <c r="L141" s="43">
        <f t="shared" si="152"/>
        <v>-355.9615</v>
      </c>
      <c r="M141" s="43">
        <f t="shared" si="152"/>
        <v>-355.9615</v>
      </c>
      <c r="N141" s="43">
        <f t="shared" si="152"/>
        <v>-355.9615</v>
      </c>
      <c r="O141" s="43">
        <f t="shared" si="152"/>
        <v>-355.9615</v>
      </c>
      <c r="P141" s="43">
        <f t="shared" si="152"/>
        <v>-355.9615</v>
      </c>
      <c r="Q141" s="43">
        <f t="shared" si="152"/>
        <v>-355.9615</v>
      </c>
      <c r="R141" s="43">
        <f t="shared" si="152"/>
        <v>-355.9615</v>
      </c>
      <c r="S141" s="43">
        <f t="shared" si="152"/>
        <v>-355.9615</v>
      </c>
      <c r="T141" s="43">
        <f t="shared" si="152"/>
        <v>-355.9615</v>
      </c>
      <c r="U141" s="43">
        <f t="shared" si="152"/>
        <v>-355.9615</v>
      </c>
      <c r="V141" s="43">
        <f t="shared" si="152"/>
        <v>-355.9615</v>
      </c>
      <c r="W141" s="43">
        <f t="shared" ref="W141" si="153">W138*(1-W36)-W135</f>
        <v>-355.9615</v>
      </c>
    </row>
    <row r="142" spans="1:23" x14ac:dyDescent="0.3">
      <c r="A142" s="14" t="s">
        <v>483</v>
      </c>
      <c r="B142" s="43">
        <f>B140/(1+B45)^3</f>
        <v>28.385560822321736</v>
      </c>
      <c r="C142" s="43">
        <f>C140/(1+C45)^3</f>
        <v>57.130076170291488</v>
      </c>
      <c r="D142" s="43">
        <f>D140/(1+D45)^3</f>
        <v>78.033898546263615</v>
      </c>
      <c r="H142" s="43">
        <f t="shared" ref="H142:V142" si="154">H140/(1+H45)^3</f>
        <v>57.130076170291488</v>
      </c>
      <c r="I142" s="43">
        <f t="shared" si="154"/>
        <v>57.130076170291488</v>
      </c>
      <c r="J142" s="43">
        <f t="shared" si="154"/>
        <v>57.130076170291488</v>
      </c>
      <c r="K142" s="43">
        <f t="shared" si="154"/>
        <v>37.176427538681736</v>
      </c>
      <c r="L142" s="43">
        <f t="shared" si="154"/>
        <v>44.461092912126567</v>
      </c>
      <c r="M142" s="43">
        <f t="shared" si="154"/>
        <v>56.105796374289717</v>
      </c>
      <c r="N142" s="43">
        <f t="shared" si="154"/>
        <v>57.130076170291488</v>
      </c>
      <c r="O142" s="43">
        <f t="shared" si="154"/>
        <v>57.130076170291488</v>
      </c>
      <c r="P142" s="43">
        <f t="shared" si="154"/>
        <v>57.130076170291488</v>
      </c>
      <c r="Q142" s="43">
        <f t="shared" si="154"/>
        <v>57.130076170291488</v>
      </c>
      <c r="R142" s="43">
        <f t="shared" si="154"/>
        <v>57.130076170291488</v>
      </c>
      <c r="S142" s="43">
        <f t="shared" si="154"/>
        <v>57.130076170291488</v>
      </c>
      <c r="T142" s="43">
        <f t="shared" si="154"/>
        <v>57.130076170291488</v>
      </c>
      <c r="U142" s="43">
        <f t="shared" si="154"/>
        <v>57.130076170291488</v>
      </c>
      <c r="V142" s="43">
        <f t="shared" si="154"/>
        <v>57.130076170291488</v>
      </c>
      <c r="W142" s="43">
        <f t="shared" ref="W142" si="155">W140/(1+W45)^3</f>
        <v>57.130076170291488</v>
      </c>
    </row>
    <row r="143" spans="1:23" x14ac:dyDescent="0.3">
      <c r="A143" s="14" t="s">
        <v>484</v>
      </c>
      <c r="B143" s="43">
        <f>B141/(1+B45)^3</f>
        <v>0</v>
      </c>
      <c r="C143" s="43">
        <f>C141/(1+C45)^3</f>
        <v>-250.53723800284851</v>
      </c>
      <c r="D143" s="43">
        <f>D141/(1+D45)^3</f>
        <v>-250.53723800284851</v>
      </c>
      <c r="H143" s="43">
        <f t="shared" ref="H143:V143" si="156">H141/(1+H45)^3</f>
        <v>-250.53723800284851</v>
      </c>
      <c r="I143" s="43">
        <f t="shared" si="156"/>
        <v>0</v>
      </c>
      <c r="J143" s="43">
        <f t="shared" si="156"/>
        <v>31.355733563958186</v>
      </c>
      <c r="K143" s="43">
        <f t="shared" si="156"/>
        <v>-250.53723800284851</v>
      </c>
      <c r="L143" s="43">
        <f t="shared" si="156"/>
        <v>-250.53723800284851</v>
      </c>
      <c r="M143" s="43">
        <f t="shared" si="156"/>
        <v>-246.04537927912688</v>
      </c>
      <c r="N143" s="43">
        <f t="shared" si="156"/>
        <v>-250.53723800284851</v>
      </c>
      <c r="O143" s="43">
        <f t="shared" si="156"/>
        <v>-250.53723800284851</v>
      </c>
      <c r="P143" s="43">
        <f t="shared" si="156"/>
        <v>-250.53723800284851</v>
      </c>
      <c r="Q143" s="43">
        <f t="shared" si="156"/>
        <v>-250.53723800284851</v>
      </c>
      <c r="R143" s="43">
        <f t="shared" si="156"/>
        <v>-250.53723800284851</v>
      </c>
      <c r="S143" s="43">
        <f t="shared" si="156"/>
        <v>-250.53723800284851</v>
      </c>
      <c r="T143" s="43">
        <f t="shared" si="156"/>
        <v>-250.53723800284851</v>
      </c>
      <c r="U143" s="43">
        <f t="shared" si="156"/>
        <v>-250.53723800284851</v>
      </c>
      <c r="V143" s="43">
        <f t="shared" si="156"/>
        <v>-250.53723800284851</v>
      </c>
      <c r="W143" s="43">
        <f t="shared" ref="W143" si="157">W141/(1+W45)^3</f>
        <v>-250.53723800284851</v>
      </c>
    </row>
    <row r="144" spans="1:23" x14ac:dyDescent="0.3">
      <c r="A144" s="14" t="s">
        <v>485</v>
      </c>
      <c r="B144" s="43">
        <f>IF(B124&gt;0,B16,B38)*B124</f>
        <v>51.195567700530788</v>
      </c>
      <c r="C144" s="43">
        <f>IF(C124&gt;0,C16,C38)*C124</f>
        <v>39.508120683155198</v>
      </c>
      <c r="D144" s="43">
        <f>IF(D124&gt;0,D16,D38)*D124</f>
        <v>45.392943592751472</v>
      </c>
      <c r="H144" s="43">
        <f t="shared" ref="H144:V144" si="158">IF(H124&gt;0,H16,H38)*H124</f>
        <v>39.508120683155198</v>
      </c>
      <c r="I144" s="43">
        <f t="shared" si="158"/>
        <v>64.425425683155197</v>
      </c>
      <c r="J144" s="43">
        <f t="shared" si="158"/>
        <v>14.914151339155193</v>
      </c>
      <c r="K144" s="43">
        <f t="shared" si="158"/>
        <v>36.481361283155174</v>
      </c>
      <c r="L144" s="43">
        <f t="shared" si="158"/>
        <v>37.586368683155193</v>
      </c>
      <c r="M144" s="43">
        <f t="shared" si="158"/>
        <v>39.508120683155198</v>
      </c>
      <c r="N144" s="43">
        <f t="shared" si="158"/>
        <v>39.508120683155198</v>
      </c>
      <c r="O144" s="43">
        <f t="shared" si="158"/>
        <v>47.402160683155188</v>
      </c>
      <c r="P144" s="43">
        <f t="shared" si="158"/>
        <v>37.8719973376936</v>
      </c>
      <c r="Q144" s="43">
        <f t="shared" si="158"/>
        <v>41.010847642244443</v>
      </c>
      <c r="R144" s="43">
        <f t="shared" si="158"/>
        <v>38.437212782570093</v>
      </c>
      <c r="S144" s="43">
        <f t="shared" si="158"/>
        <v>39.508120683155198</v>
      </c>
      <c r="T144" s="43">
        <f t="shared" si="158"/>
        <v>39.508120683155198</v>
      </c>
      <c r="U144" s="43">
        <f t="shared" si="158"/>
        <v>41.361898737435482</v>
      </c>
      <c r="V144" s="43">
        <f t="shared" si="158"/>
        <v>39.508120683155198</v>
      </c>
      <c r="W144" s="43">
        <f t="shared" ref="W144" si="159">IF(W124&gt;0,W16,W38)*W124</f>
        <v>39.794641596373317</v>
      </c>
    </row>
    <row r="145" spans="1:23" x14ac:dyDescent="0.3">
      <c r="A145" s="14" t="s">
        <v>486</v>
      </c>
      <c r="B145" s="43">
        <f>B130+B139+B144*(1-B37)</f>
        <v>185.73654020688446</v>
      </c>
      <c r="C145" s="43">
        <f>C130+C139+C144*(1-C37)</f>
        <v>298.71716490393038</v>
      </c>
      <c r="D145" s="43">
        <f>D130+D139+D144*(1-D37)</f>
        <v>413.57560840172368</v>
      </c>
      <c r="H145" s="43">
        <f t="shared" ref="H145:V145" si="160">H130+H139+H144*(1-H37)</f>
        <v>298.71716490393038</v>
      </c>
      <c r="I145" s="43">
        <f t="shared" si="160"/>
        <v>318.65100890393035</v>
      </c>
      <c r="J145" s="43">
        <f t="shared" si="160"/>
        <v>328.54198942873035</v>
      </c>
      <c r="K145" s="43">
        <f t="shared" si="160"/>
        <v>264.79575738393032</v>
      </c>
      <c r="L145" s="43">
        <f t="shared" si="160"/>
        <v>277.17976330393037</v>
      </c>
      <c r="M145" s="43">
        <f t="shared" si="160"/>
        <v>298.71716490393038</v>
      </c>
      <c r="N145" s="43">
        <f t="shared" si="160"/>
        <v>298.71716490393038</v>
      </c>
      <c r="O145" s="43">
        <f t="shared" si="160"/>
        <v>305.03239690393036</v>
      </c>
      <c r="P145" s="43">
        <f t="shared" si="160"/>
        <v>276.22825065280671</v>
      </c>
      <c r="Q145" s="43">
        <f t="shared" si="160"/>
        <v>319.37251330388614</v>
      </c>
      <c r="R145" s="43">
        <f t="shared" si="160"/>
        <v>289.19203391364351</v>
      </c>
      <c r="S145" s="43">
        <f t="shared" si="160"/>
        <v>298.71716490393038</v>
      </c>
      <c r="T145" s="43">
        <f t="shared" si="160"/>
        <v>298.71716490393038</v>
      </c>
      <c r="U145" s="43">
        <f t="shared" si="160"/>
        <v>315.20549110293553</v>
      </c>
      <c r="V145" s="43">
        <f t="shared" si="160"/>
        <v>298.71716490393038</v>
      </c>
      <c r="W145" s="43">
        <f t="shared" ref="W145" si="161">W130+W139+W144*(1-W37)</f>
        <v>302.59352496404398</v>
      </c>
    </row>
    <row r="146" spans="1:23" x14ac:dyDescent="0.3">
      <c r="A146" s="14" t="s">
        <v>487</v>
      </c>
      <c r="B146" s="27">
        <f>B15*'01_Số liệu gốc'!$B$8/1000</f>
        <v>110</v>
      </c>
      <c r="C146" s="27">
        <f>C15*'01_Số liệu gốc'!$B$8/1000</f>
        <v>165</v>
      </c>
      <c r="D146" s="27">
        <f>D15*'01_Số liệu gốc'!$B$8/1000</f>
        <v>220</v>
      </c>
      <c r="H146" s="27">
        <f>H15*'01_Số liệu gốc'!$B$8/1000</f>
        <v>165</v>
      </c>
      <c r="I146" s="27">
        <f>I15*'01_Số liệu gốc'!$B$8/1000</f>
        <v>165</v>
      </c>
      <c r="J146" s="27">
        <f>J15*'01_Số liệu gốc'!$B$8/1000</f>
        <v>165</v>
      </c>
      <c r="K146" s="27">
        <f>K15*'01_Số liệu gốc'!$B$8/1000</f>
        <v>165</v>
      </c>
      <c r="L146" s="27">
        <f>L15*'01_Số liệu gốc'!$B$8/1000</f>
        <v>165</v>
      </c>
      <c r="M146" s="27">
        <f>M15*'01_Số liệu gốc'!$B$8/1000</f>
        <v>165</v>
      </c>
      <c r="N146" s="27">
        <f>N15*'01_Số liệu gốc'!$B$8/1000</f>
        <v>165</v>
      </c>
      <c r="O146" s="27">
        <f>O15*'01_Số liệu gốc'!$B$8/1000</f>
        <v>110</v>
      </c>
      <c r="P146" s="27">
        <f>P15*'01_Số liệu gốc'!$B$8/1000</f>
        <v>165</v>
      </c>
      <c r="Q146" s="27">
        <f>Q15*'01_Số liệu gốc'!$B$8/1000</f>
        <v>165</v>
      </c>
      <c r="R146" s="27">
        <f>R15*'01_Số liệu gốc'!$B$8/1000</f>
        <v>165</v>
      </c>
      <c r="S146" s="27">
        <f>S15*'01_Số liệu gốc'!$B$8/1000</f>
        <v>165</v>
      </c>
      <c r="T146" s="27">
        <f>T15*'01_Số liệu gốc'!$B$8/1000</f>
        <v>165</v>
      </c>
      <c r="U146" s="27">
        <f>U15*'01_Số liệu gốc'!$B$8/1000</f>
        <v>165</v>
      </c>
      <c r="V146" s="27">
        <f>V15*'01_Số liệu gốc'!$B$8/1000</f>
        <v>165</v>
      </c>
      <c r="W146" s="27">
        <f>W15*'01_Số liệu gốc'!$B$8/1000</f>
        <v>165</v>
      </c>
    </row>
    <row r="147" spans="1:23" x14ac:dyDescent="0.3">
      <c r="A147" s="14" t="s">
        <v>488</v>
      </c>
      <c r="B147" s="43">
        <f>(B69-B24)*1</f>
        <v>28</v>
      </c>
      <c r="C147" s="43">
        <f>(C69-C24)*1</f>
        <v>24.200000000000003</v>
      </c>
      <c r="D147" s="43">
        <f>(D69-D24)*1</f>
        <v>24.200000000000003</v>
      </c>
      <c r="H147" s="43">
        <f t="shared" ref="H147:V147" si="162">(H69-H24)*1</f>
        <v>24.200000000000003</v>
      </c>
      <c r="I147" s="43">
        <f t="shared" si="162"/>
        <v>24.200000000000003</v>
      </c>
      <c r="J147" s="43">
        <f t="shared" si="162"/>
        <v>24.200000000000003</v>
      </c>
      <c r="K147" s="43">
        <f t="shared" si="162"/>
        <v>24.200000000000003</v>
      </c>
      <c r="L147" s="43">
        <f t="shared" si="162"/>
        <v>24.200000000000003</v>
      </c>
      <c r="M147" s="43">
        <f t="shared" si="162"/>
        <v>24.200000000000003</v>
      </c>
      <c r="N147" s="43">
        <f t="shared" si="162"/>
        <v>24.200000000000003</v>
      </c>
      <c r="O147" s="43">
        <f t="shared" si="162"/>
        <v>24.200000000000003</v>
      </c>
      <c r="P147" s="43">
        <f t="shared" si="162"/>
        <v>24.200000000000003</v>
      </c>
      <c r="Q147" s="43">
        <f t="shared" si="162"/>
        <v>24.200000000000003</v>
      </c>
      <c r="R147" s="43">
        <f t="shared" si="162"/>
        <v>24.200000000000003</v>
      </c>
      <c r="S147" s="43">
        <f t="shared" si="162"/>
        <v>24.200000000000003</v>
      </c>
      <c r="T147" s="43">
        <f t="shared" si="162"/>
        <v>24.200000000000003</v>
      </c>
      <c r="U147" s="43">
        <f t="shared" si="162"/>
        <v>24.200000000000003</v>
      </c>
      <c r="V147" s="43">
        <f t="shared" si="162"/>
        <v>24.200000000000003</v>
      </c>
      <c r="W147" s="43">
        <f t="shared" ref="W147" si="163">(W69-W24)*1</f>
        <v>24.200000000000003</v>
      </c>
    </row>
    <row r="148" spans="1:23" x14ac:dyDescent="0.3">
      <c r="A148" s="9" t="s">
        <v>489</v>
      </c>
      <c r="B148" s="67">
        <f>B124+B145*(1-B36)-B146-B136-B131+B147</f>
        <v>872.78700465590043</v>
      </c>
      <c r="C148" s="67">
        <f>C124+C145*(1-C36)-C146-C136-C131+C147</f>
        <v>323.73985745861143</v>
      </c>
      <c r="D148" s="67">
        <f>D124+D145*(1-D36)-D146-D136-D131+D147</f>
        <v>402.1420454649043</v>
      </c>
      <c r="H148" s="67">
        <f t="shared" ref="H148:V148" si="164">H124+H145*(1-H36)-H146-H136-H131+H147</f>
        <v>323.73985745861143</v>
      </c>
      <c r="I148" s="67">
        <f t="shared" si="164"/>
        <v>1053.6033170586115</v>
      </c>
      <c r="J148" s="67">
        <f t="shared" si="164"/>
        <v>355.20128033093147</v>
      </c>
      <c r="K148" s="67">
        <f t="shared" si="164"/>
        <v>249.97117069061113</v>
      </c>
      <c r="L148" s="67">
        <f t="shared" si="164"/>
        <v>276.9025960186114</v>
      </c>
      <c r="M148" s="67">
        <f t="shared" si="164"/>
        <v>323.73985745861143</v>
      </c>
      <c r="N148" s="67">
        <f t="shared" si="164"/>
        <v>323.73985745861143</v>
      </c>
      <c r="O148" s="67">
        <f t="shared" si="164"/>
        <v>497.19556625861145</v>
      </c>
      <c r="P148" s="67">
        <f t="shared" si="164"/>
        <v>281.37808168494888</v>
      </c>
      <c r="Q148" s="67">
        <f t="shared" si="164"/>
        <v>362.64779350546092</v>
      </c>
      <c r="R148" s="67">
        <f t="shared" si="164"/>
        <v>299.86855527328038</v>
      </c>
      <c r="S148" s="67">
        <f t="shared" si="164"/>
        <v>323.73985745861143</v>
      </c>
      <c r="T148" s="67">
        <f t="shared" si="164"/>
        <v>323.73985745861143</v>
      </c>
      <c r="U148" s="67">
        <f t="shared" si="164"/>
        <v>365.06189467029168</v>
      </c>
      <c r="V148" s="67">
        <f t="shared" si="164"/>
        <v>323.73985745861143</v>
      </c>
      <c r="W148" s="67">
        <f t="shared" ref="W148" si="165">W124+W145*(1-W36)-W146-W136-W131+W147</f>
        <v>331.32173741582966</v>
      </c>
    </row>
    <row r="149" spans="1:23" x14ac:dyDescent="0.3">
      <c r="A149" s="14" t="s">
        <v>490</v>
      </c>
      <c r="B149" s="43">
        <f>B125+B145*(1-B36)-B146</f>
        <v>2511.6180046559007</v>
      </c>
      <c r="C149" s="43">
        <f>C125+C145*(1-C36)-C146</f>
        <v>2642.9594524586109</v>
      </c>
      <c r="D149" s="43">
        <f>D125+D145*(1-D36)-D146</f>
        <v>2755.5240754649044</v>
      </c>
      <c r="H149" s="43">
        <f t="shared" ref="H149:V149" si="166">H125+H145*(1-H36)-H146</f>
        <v>2642.9594524586109</v>
      </c>
      <c r="I149" s="43">
        <f t="shared" si="166"/>
        <v>2660.8999120586109</v>
      </c>
      <c r="J149" s="43">
        <f t="shared" si="166"/>
        <v>2674.4208753309313</v>
      </c>
      <c r="K149" s="43">
        <f t="shared" si="166"/>
        <v>2569.190765690611</v>
      </c>
      <c r="L149" s="43">
        <f t="shared" si="166"/>
        <v>2596.1221910186114</v>
      </c>
      <c r="M149" s="43">
        <f t="shared" si="166"/>
        <v>2642.9594524586109</v>
      </c>
      <c r="N149" s="43">
        <f t="shared" si="166"/>
        <v>2642.9594524586109</v>
      </c>
      <c r="O149" s="43">
        <f t="shared" si="166"/>
        <v>2816.4151612586111</v>
      </c>
      <c r="P149" s="43">
        <f t="shared" si="166"/>
        <v>2585.9530489231488</v>
      </c>
      <c r="Q149" s="43">
        <f t="shared" si="166"/>
        <v>2695.3180106755599</v>
      </c>
      <c r="R149" s="43">
        <f t="shared" si="166"/>
        <v>2619.08815027328</v>
      </c>
      <c r="S149" s="43">
        <f t="shared" si="166"/>
        <v>2642.9594524586109</v>
      </c>
      <c r="T149" s="43">
        <f t="shared" si="166"/>
        <v>2642.9594524586109</v>
      </c>
      <c r="U149" s="43">
        <f t="shared" si="166"/>
        <v>2684.2814896702916</v>
      </c>
      <c r="V149" s="43">
        <f t="shared" si="166"/>
        <v>2642.9594524586109</v>
      </c>
      <c r="W149" s="43">
        <f t="shared" ref="W149" si="167">W125+W145*(1-W36)-W146</f>
        <v>2650.5413324158294</v>
      </c>
    </row>
    <row r="150" spans="1:23" x14ac:dyDescent="0.3">
      <c r="A150" s="14" t="s">
        <v>491</v>
      </c>
      <c r="B150" s="43">
        <f>B146/(1+B44)^3</f>
        <v>79.946076699921406</v>
      </c>
      <c r="C150" s="43">
        <f>C146/(1+C44)^3</f>
        <v>119.91911504988211</v>
      </c>
      <c r="D150" s="43">
        <f>D146/(1+D44)^3</f>
        <v>159.89215339984281</v>
      </c>
      <c r="H150" s="43">
        <f t="shared" ref="H150:V150" si="168">H146/(1+H44)^3</f>
        <v>119.91911504988211</v>
      </c>
      <c r="I150" s="43">
        <f t="shared" si="168"/>
        <v>119.91911504988211</v>
      </c>
      <c r="J150" s="43">
        <f t="shared" si="168"/>
        <v>119.91911504988211</v>
      </c>
      <c r="K150" s="43">
        <f t="shared" si="168"/>
        <v>119.91911504988211</v>
      </c>
      <c r="L150" s="43">
        <f t="shared" si="168"/>
        <v>119.91911504988211</v>
      </c>
      <c r="M150" s="43">
        <f t="shared" si="168"/>
        <v>118.075157502671</v>
      </c>
      <c r="N150" s="43">
        <f t="shared" si="168"/>
        <v>116.13234653317846</v>
      </c>
      <c r="O150" s="43">
        <f t="shared" si="168"/>
        <v>79.946076699921406</v>
      </c>
      <c r="P150" s="43">
        <f t="shared" si="168"/>
        <v>119.91911504988211</v>
      </c>
      <c r="Q150" s="43">
        <f t="shared" si="168"/>
        <v>119.91911504988211</v>
      </c>
      <c r="R150" s="43">
        <f t="shared" si="168"/>
        <v>119.91911504988211</v>
      </c>
      <c r="S150" s="43">
        <f t="shared" si="168"/>
        <v>119.91911504988211</v>
      </c>
      <c r="T150" s="43">
        <f t="shared" si="168"/>
        <v>119.91911504988211</v>
      </c>
      <c r="U150" s="43">
        <f t="shared" si="168"/>
        <v>119.91911504988211</v>
      </c>
      <c r="V150" s="43">
        <f t="shared" si="168"/>
        <v>122.02650913671459</v>
      </c>
      <c r="W150" s="43">
        <f t="shared" ref="W150" si="169">W146/(1+W44)^3</f>
        <v>119.91911504988211</v>
      </c>
    </row>
    <row r="151" spans="1:23" x14ac:dyDescent="0.3">
      <c r="A151" s="51" t="s">
        <v>808</v>
      </c>
      <c r="B151" s="52"/>
      <c r="C151" s="52"/>
      <c r="D151" s="52"/>
      <c r="E151" s="52"/>
      <c r="F151" s="52"/>
      <c r="G151" s="52"/>
      <c r="H151" s="52"/>
      <c r="I151" s="52"/>
      <c r="J151" s="52"/>
      <c r="K151" s="52"/>
      <c r="L151" s="52"/>
      <c r="M151" s="52"/>
      <c r="N151" s="52"/>
      <c r="O151" s="52"/>
      <c r="P151" s="52"/>
      <c r="Q151" s="52"/>
      <c r="R151" s="52"/>
      <c r="S151" s="52"/>
      <c r="T151" s="52"/>
      <c r="U151" s="52"/>
      <c r="V151" s="52"/>
      <c r="W151" s="52"/>
    </row>
    <row r="152" spans="1:23" x14ac:dyDescent="0.3">
      <c r="A152" s="14" t="s">
        <v>472</v>
      </c>
      <c r="B152" s="43">
        <f>B6*(1+B11)^3</f>
        <v>2200</v>
      </c>
      <c r="C152" s="43">
        <f>C6*(1+C11)^3</f>
        <v>2677.1811499999999</v>
      </c>
      <c r="D152" s="43">
        <f>D6*(1+D11)^3</f>
        <v>3125.5875000000005</v>
      </c>
      <c r="H152" s="43">
        <f t="shared" ref="H152:V152" si="170">H6*(1+H11)^3</f>
        <v>2677.1811499999999</v>
      </c>
      <c r="I152" s="43">
        <f t="shared" si="170"/>
        <v>2677.1811499999999</v>
      </c>
      <c r="J152" s="43">
        <f t="shared" si="170"/>
        <v>2677.1811499999999</v>
      </c>
      <c r="K152" s="43">
        <f t="shared" si="170"/>
        <v>2677.1811499999999</v>
      </c>
      <c r="L152" s="43">
        <f t="shared" si="170"/>
        <v>2677.1811499999999</v>
      </c>
      <c r="M152" s="43">
        <f t="shared" si="170"/>
        <v>2677.1811499999999</v>
      </c>
      <c r="N152" s="43">
        <f t="shared" si="170"/>
        <v>2677.1811499999999</v>
      </c>
      <c r="O152" s="43">
        <f t="shared" si="170"/>
        <v>2677.1811499999999</v>
      </c>
      <c r="P152" s="43">
        <f t="shared" si="170"/>
        <v>2367.7055654220003</v>
      </c>
      <c r="Q152" s="43">
        <f t="shared" si="170"/>
        <v>2961.4245754209996</v>
      </c>
      <c r="R152" s="43">
        <f t="shared" si="170"/>
        <v>2677.1811499999999</v>
      </c>
      <c r="S152" s="43">
        <f t="shared" si="170"/>
        <v>2677.1811499999999</v>
      </c>
      <c r="T152" s="43">
        <f t="shared" si="170"/>
        <v>2677.1811499999999</v>
      </c>
      <c r="U152" s="43">
        <f t="shared" si="170"/>
        <v>2677.1811499999999</v>
      </c>
      <c r="V152" s="43">
        <f t="shared" si="170"/>
        <v>2677.1811499999999</v>
      </c>
      <c r="W152" s="43">
        <f t="shared" ref="W152" si="171">W6*(1+W11)^3</f>
        <v>2677.1811499999999</v>
      </c>
    </row>
    <row r="153" spans="1:23" x14ac:dyDescent="0.3">
      <c r="A153" s="14" t="s">
        <v>473</v>
      </c>
      <c r="B153" s="43">
        <f>B40*B7+(B53-B9)*B152-B42*(1+B35)^3</f>
        <v>142.8027976005053</v>
      </c>
      <c r="C153" s="43">
        <f>C40*C7+(C53-C9)*C152-C42*(1+C35)^3</f>
        <v>228.76680044849275</v>
      </c>
      <c r="D153" s="43">
        <f>D40*D7+(D53-D9)*D152-D42*(1+D35)^3</f>
        <v>322.01356376252602</v>
      </c>
      <c r="H153" s="43">
        <f t="shared" ref="H153:V153" si="172">H40*H7+(H53-H9)*H152-H42*(1+H35)^3</f>
        <v>228.76680044849275</v>
      </c>
      <c r="I153" s="43">
        <f t="shared" si="172"/>
        <v>228.76680044849275</v>
      </c>
      <c r="J153" s="43">
        <f t="shared" si="172"/>
        <v>228.76680044849275</v>
      </c>
      <c r="K153" s="43">
        <f t="shared" si="172"/>
        <v>228.76680044849275</v>
      </c>
      <c r="L153" s="43">
        <f t="shared" si="172"/>
        <v>228.76680044849275</v>
      </c>
      <c r="M153" s="43">
        <f t="shared" si="172"/>
        <v>228.76680044849275</v>
      </c>
      <c r="N153" s="43">
        <f t="shared" si="172"/>
        <v>228.76680044849275</v>
      </c>
      <c r="O153" s="43">
        <f t="shared" si="172"/>
        <v>228.76680044849275</v>
      </c>
      <c r="P153" s="43">
        <f t="shared" si="172"/>
        <v>204.79381578695751</v>
      </c>
      <c r="Q153" s="43">
        <f t="shared" si="172"/>
        <v>250.78522005032221</v>
      </c>
      <c r="R153" s="43">
        <f t="shared" si="172"/>
        <v>218.95530944858803</v>
      </c>
      <c r="S153" s="43">
        <f t="shared" si="172"/>
        <v>228.76680044849275</v>
      </c>
      <c r="T153" s="43">
        <f t="shared" si="172"/>
        <v>228.76680044849275</v>
      </c>
      <c r="U153" s="43">
        <f t="shared" si="172"/>
        <v>245.75082557843598</v>
      </c>
      <c r="V153" s="43">
        <f t="shared" si="172"/>
        <v>228.76680044849275</v>
      </c>
      <c r="W153" s="43">
        <f t="shared" ref="W153" si="173">W40*W7+(W53-W9)*W152-W42*(1+W35)^3</f>
        <v>233.85488575555348</v>
      </c>
    </row>
    <row r="154" spans="1:23" x14ac:dyDescent="0.3">
      <c r="A154" s="14" t="s">
        <v>474</v>
      </c>
      <c r="B154" s="43">
        <f>B153*(1-B10)</f>
        <v>129.95054581645982</v>
      </c>
      <c r="C154" s="43">
        <f>C153*(1-C10)</f>
        <v>208.17778840812841</v>
      </c>
      <c r="D154" s="43">
        <f>D153*(1-D10)</f>
        <v>293.0323430238987</v>
      </c>
      <c r="H154" s="43">
        <f t="shared" ref="H154:V154" si="174">H153*(1-H10)</f>
        <v>208.17778840812841</v>
      </c>
      <c r="I154" s="43">
        <f t="shared" si="174"/>
        <v>208.17778840812841</v>
      </c>
      <c r="J154" s="43">
        <f t="shared" si="174"/>
        <v>208.17778840812841</v>
      </c>
      <c r="K154" s="43">
        <f t="shared" si="174"/>
        <v>208.17778840812841</v>
      </c>
      <c r="L154" s="43">
        <f t="shared" si="174"/>
        <v>208.17778840812841</v>
      </c>
      <c r="M154" s="43">
        <f t="shared" si="174"/>
        <v>208.17778840812841</v>
      </c>
      <c r="N154" s="43">
        <f t="shared" si="174"/>
        <v>208.17778840812841</v>
      </c>
      <c r="O154" s="43">
        <f t="shared" si="174"/>
        <v>208.17778840812841</v>
      </c>
      <c r="P154" s="43">
        <f t="shared" si="174"/>
        <v>186.36237236613135</v>
      </c>
      <c r="Q154" s="43">
        <f t="shared" si="174"/>
        <v>228.21455024579322</v>
      </c>
      <c r="R154" s="43">
        <f t="shared" si="174"/>
        <v>199.24933159821512</v>
      </c>
      <c r="S154" s="43">
        <f t="shared" si="174"/>
        <v>208.17778840812841</v>
      </c>
      <c r="T154" s="43">
        <f t="shared" si="174"/>
        <v>208.17778840812841</v>
      </c>
      <c r="U154" s="43">
        <f t="shared" si="174"/>
        <v>223.63325127637674</v>
      </c>
      <c r="V154" s="43">
        <f t="shared" si="174"/>
        <v>208.17778840812841</v>
      </c>
      <c r="W154" s="43">
        <f t="shared" ref="W154" si="175">W153*(1-W10)</f>
        <v>212.80794603755368</v>
      </c>
    </row>
    <row r="155" spans="1:23" x14ac:dyDescent="0.3">
      <c r="A155" s="14" t="s">
        <v>803</v>
      </c>
      <c r="B155" s="43">
        <f>(B46-B47)*(B152+B7)+B48*IF((B152-B128)&lt;0,B49,1)*(B152-B128)</f>
        <v>0</v>
      </c>
      <c r="C155" s="43">
        <f>(C46-C47)*(C152+C7)+C48*IF((C152-C128)&lt;0,C49,1)*(C152-C128)</f>
        <v>13.070589449999996</v>
      </c>
      <c r="D155" s="43">
        <f>(D46-D47)*(D152+D7)+D48*IF((D152-D128)&lt;0,D49,1)*(D152-D128)</f>
        <v>24.581437500000028</v>
      </c>
      <c r="H155" s="43">
        <f t="shared" ref="H155:W155" si="176">(H46-H47)*(H152+H7)+H48*IF((H152-H128)&lt;0,H49,1)*(H152-H128)</f>
        <v>13.070589449999996</v>
      </c>
      <c r="I155" s="43">
        <f t="shared" si="176"/>
        <v>13.070589449999996</v>
      </c>
      <c r="J155" s="43">
        <f t="shared" si="176"/>
        <v>13.070589449999996</v>
      </c>
      <c r="K155" s="43">
        <f t="shared" si="176"/>
        <v>13.070589449999996</v>
      </c>
      <c r="L155" s="43">
        <f t="shared" si="176"/>
        <v>13.070589449999996</v>
      </c>
      <c r="M155" s="43">
        <f t="shared" si="176"/>
        <v>13.070589449999996</v>
      </c>
      <c r="N155" s="43">
        <f t="shared" si="176"/>
        <v>13.070589449999996</v>
      </c>
      <c r="O155" s="43">
        <f t="shared" si="176"/>
        <v>13.070589449999996</v>
      </c>
      <c r="P155" s="43">
        <f t="shared" si="176"/>
        <v>11.781608617146004</v>
      </c>
      <c r="Q155" s="43">
        <f t="shared" si="176"/>
        <v>14.254477115102997</v>
      </c>
      <c r="R155" s="43">
        <f t="shared" si="176"/>
        <v>13.070589449999996</v>
      </c>
      <c r="S155" s="43">
        <f t="shared" si="176"/>
        <v>13.070589449999996</v>
      </c>
      <c r="T155" s="43">
        <f t="shared" si="176"/>
        <v>13.070589449999996</v>
      </c>
      <c r="U155" s="43">
        <f t="shared" si="176"/>
        <v>13.070589449999996</v>
      </c>
      <c r="V155" s="43">
        <f t="shared" si="176"/>
        <v>13.070589449999996</v>
      </c>
      <c r="W155" s="43">
        <f t="shared" si="176"/>
        <v>13.070589449999996</v>
      </c>
    </row>
    <row r="156" spans="1:23" x14ac:dyDescent="0.3">
      <c r="A156" s="9" t="s">
        <v>475</v>
      </c>
      <c r="B156" s="67">
        <f>B154*(1-B36)-B155</f>
        <v>116.95549123481385</v>
      </c>
      <c r="C156" s="67">
        <f>C154*(1-C36)-C155</f>
        <v>174.28942011731556</v>
      </c>
      <c r="D156" s="67">
        <f>D154*(1-D36)-D155</f>
        <v>239.14767122150883</v>
      </c>
      <c r="H156" s="67">
        <f t="shared" ref="H156:V156" si="177">H154*(1-H36)-H155</f>
        <v>174.28942011731556</v>
      </c>
      <c r="I156" s="67">
        <f t="shared" si="177"/>
        <v>174.28942011731556</v>
      </c>
      <c r="J156" s="67">
        <f t="shared" si="177"/>
        <v>174.28942011731556</v>
      </c>
      <c r="K156" s="67">
        <f t="shared" si="177"/>
        <v>174.28942011731556</v>
      </c>
      <c r="L156" s="67">
        <f t="shared" si="177"/>
        <v>174.28942011731556</v>
      </c>
      <c r="M156" s="67">
        <f t="shared" si="177"/>
        <v>174.28942011731556</v>
      </c>
      <c r="N156" s="67">
        <f t="shared" si="177"/>
        <v>174.28942011731556</v>
      </c>
      <c r="O156" s="67">
        <f t="shared" si="177"/>
        <v>174.28942011731556</v>
      </c>
      <c r="P156" s="67">
        <f t="shared" si="177"/>
        <v>155.94452651237222</v>
      </c>
      <c r="Q156" s="67">
        <f t="shared" si="177"/>
        <v>191.13861810611093</v>
      </c>
      <c r="R156" s="67">
        <f t="shared" si="177"/>
        <v>166.25380898839362</v>
      </c>
      <c r="S156" s="67">
        <f t="shared" si="177"/>
        <v>174.28942011731556</v>
      </c>
      <c r="T156" s="67">
        <f t="shared" si="177"/>
        <v>174.28942011731556</v>
      </c>
      <c r="U156" s="67">
        <f t="shared" si="177"/>
        <v>188.19933669873907</v>
      </c>
      <c r="V156" s="67">
        <f t="shared" si="177"/>
        <v>174.28942011731556</v>
      </c>
      <c r="W156" s="67">
        <f t="shared" ref="W156" si="178">W154*(1-W36)-W155</f>
        <v>178.45656198379831</v>
      </c>
    </row>
    <row r="157" spans="1:23" x14ac:dyDescent="0.3">
      <c r="A157" s="14" t="s">
        <v>804</v>
      </c>
      <c r="B157" s="43">
        <f>B156/(1+B44)^3.5</f>
        <v>80.598291018827737</v>
      </c>
      <c r="C157" s="43">
        <f>C156/(1+C44)^3.5</f>
        <v>120.10919073406163</v>
      </c>
      <c r="D157" s="43">
        <f>D156/(1+D44)^3.5</f>
        <v>164.80537508826771</v>
      </c>
      <c r="H157" s="43">
        <f t="shared" ref="H157:W157" si="179">H156/(1+H44)^3.5</f>
        <v>120.10919073406163</v>
      </c>
      <c r="I157" s="43">
        <f t="shared" si="179"/>
        <v>120.10919073406163</v>
      </c>
      <c r="J157" s="43">
        <f t="shared" si="179"/>
        <v>120.10919073406163</v>
      </c>
      <c r="K157" s="43">
        <f t="shared" si="179"/>
        <v>120.10919073406163</v>
      </c>
      <c r="L157" s="43">
        <f t="shared" si="179"/>
        <v>120.10919073406163</v>
      </c>
      <c r="M157" s="43">
        <f t="shared" si="179"/>
        <v>117.95726995377908</v>
      </c>
      <c r="N157" s="43">
        <f t="shared" si="179"/>
        <v>115.69603927082855</v>
      </c>
      <c r="O157" s="43">
        <f t="shared" si="179"/>
        <v>120.10919073406163</v>
      </c>
      <c r="P157" s="43">
        <f t="shared" si="179"/>
        <v>107.46705603931602</v>
      </c>
      <c r="Q157" s="43">
        <f t="shared" si="179"/>
        <v>131.72058707464268</v>
      </c>
      <c r="R157" s="43">
        <f t="shared" si="179"/>
        <v>114.57155827708986</v>
      </c>
      <c r="S157" s="43">
        <f t="shared" si="179"/>
        <v>120.10919073406163</v>
      </c>
      <c r="T157" s="43">
        <f t="shared" si="179"/>
        <v>120.10919073406163</v>
      </c>
      <c r="U157" s="43">
        <f t="shared" si="179"/>
        <v>129.69502114561797</v>
      </c>
      <c r="V157" s="43">
        <f t="shared" si="179"/>
        <v>122.57530296298448</v>
      </c>
      <c r="W157" s="43">
        <f t="shared" si="179"/>
        <v>122.98092005027813</v>
      </c>
    </row>
    <row r="158" spans="1:23" x14ac:dyDescent="0.3">
      <c r="A158" s="14" t="s">
        <v>476</v>
      </c>
      <c r="B158" s="43">
        <f>0</f>
        <v>0</v>
      </c>
      <c r="C158" s="43">
        <f>0</f>
        <v>0</v>
      </c>
      <c r="D158" s="43">
        <f>0</f>
        <v>0</v>
      </c>
      <c r="H158" s="43">
        <f>0</f>
        <v>0</v>
      </c>
      <c r="I158" s="43">
        <f>0</f>
        <v>0</v>
      </c>
      <c r="J158" s="43">
        <f>0</f>
        <v>0</v>
      </c>
      <c r="K158" s="43">
        <f>0</f>
        <v>0</v>
      </c>
      <c r="L158" s="43">
        <f>0</f>
        <v>0</v>
      </c>
      <c r="M158" s="43">
        <f>0</f>
        <v>0</v>
      </c>
      <c r="N158" s="43">
        <f>0</f>
        <v>0</v>
      </c>
      <c r="O158" s="43">
        <f>0</f>
        <v>0</v>
      </c>
      <c r="P158" s="43">
        <f>0</f>
        <v>0</v>
      </c>
      <c r="Q158" s="43">
        <f>0</f>
        <v>0</v>
      </c>
      <c r="R158" s="43">
        <f>0</f>
        <v>0</v>
      </c>
      <c r="S158" s="43">
        <f>0</f>
        <v>0</v>
      </c>
      <c r="T158" s="43">
        <f>0</f>
        <v>0</v>
      </c>
      <c r="U158" s="43">
        <f>0</f>
        <v>0</v>
      </c>
      <c r="V158" s="43">
        <f>0</f>
        <v>0</v>
      </c>
      <c r="W158" s="43">
        <f>0</f>
        <v>0</v>
      </c>
    </row>
    <row r="159" spans="1:23" x14ac:dyDescent="0.3">
      <c r="A159" s="14" t="s">
        <v>477</v>
      </c>
      <c r="B159" s="43">
        <f>B74*(IF(B29-2030=1,0.5,0)+IF(B29-2030=2,0.5,0)+IF(AND(B29=2028,2030=2027),0.5,0))</f>
        <v>409.4615</v>
      </c>
      <c r="C159" s="43">
        <f>C74*(IF(C29-2030=1,0.5,0)+IF(C29-2030=2,0.5,0)+IF(AND(C29=2028,2030=2027),0.5,0))</f>
        <v>0</v>
      </c>
      <c r="D159" s="43">
        <f>D74*(IF(D29-2030=1,0.5,0)+IF(D29-2030=2,0.5,0)+IF(AND(D29=2028,2030=2027),0.5,0))</f>
        <v>0</v>
      </c>
      <c r="H159" s="43">
        <f t="shared" ref="H159:V159" si="180">H74*(IF(H29-2030=1,0.5,0)+IF(H29-2030=2,0.5,0)+IF(AND(H29=2028,2030=2027),0.5,0))</f>
        <v>0</v>
      </c>
      <c r="I159" s="43">
        <f t="shared" si="180"/>
        <v>0</v>
      </c>
      <c r="J159" s="43">
        <f t="shared" si="180"/>
        <v>0</v>
      </c>
      <c r="K159" s="43">
        <f t="shared" si="180"/>
        <v>0</v>
      </c>
      <c r="L159" s="43">
        <f t="shared" si="180"/>
        <v>0</v>
      </c>
      <c r="M159" s="43">
        <f t="shared" si="180"/>
        <v>0</v>
      </c>
      <c r="N159" s="43">
        <f t="shared" si="180"/>
        <v>0</v>
      </c>
      <c r="O159" s="43">
        <f t="shared" si="180"/>
        <v>0</v>
      </c>
      <c r="P159" s="43">
        <f t="shared" si="180"/>
        <v>0</v>
      </c>
      <c r="Q159" s="43">
        <f t="shared" si="180"/>
        <v>0</v>
      </c>
      <c r="R159" s="43">
        <f t="shared" si="180"/>
        <v>0</v>
      </c>
      <c r="S159" s="43">
        <f t="shared" si="180"/>
        <v>0</v>
      </c>
      <c r="T159" s="43">
        <f t="shared" si="180"/>
        <v>0</v>
      </c>
      <c r="U159" s="43">
        <f t="shared" si="180"/>
        <v>0</v>
      </c>
      <c r="V159" s="43">
        <f t="shared" si="180"/>
        <v>0</v>
      </c>
      <c r="W159" s="43">
        <f t="shared" ref="W159" si="181">W74*(IF(W29-2030=1,0.5,0)+IF(W29-2030=2,0.5,0)+IF(AND(W29=2028,2030=2027),0.5,0))</f>
        <v>0</v>
      </c>
    </row>
    <row r="160" spans="1:23" x14ac:dyDescent="0.3">
      <c r="A160" s="14" t="s">
        <v>478</v>
      </c>
      <c r="B160" s="43">
        <f>B158+B159</f>
        <v>409.4615</v>
      </c>
      <c r="C160" s="43">
        <f>C158+C159</f>
        <v>0</v>
      </c>
      <c r="D160" s="43">
        <f>D158+D159</f>
        <v>0</v>
      </c>
      <c r="H160" s="43">
        <f t="shared" ref="H160:V160" si="182">H158+H159</f>
        <v>0</v>
      </c>
      <c r="I160" s="43">
        <f t="shared" si="182"/>
        <v>0</v>
      </c>
      <c r="J160" s="43">
        <f t="shared" si="182"/>
        <v>0</v>
      </c>
      <c r="K160" s="43">
        <f t="shared" si="182"/>
        <v>0</v>
      </c>
      <c r="L160" s="43">
        <f t="shared" si="182"/>
        <v>0</v>
      </c>
      <c r="M160" s="43">
        <f t="shared" si="182"/>
        <v>0</v>
      </c>
      <c r="N160" s="43">
        <f t="shared" si="182"/>
        <v>0</v>
      </c>
      <c r="O160" s="43">
        <f t="shared" si="182"/>
        <v>0</v>
      </c>
      <c r="P160" s="43">
        <f t="shared" si="182"/>
        <v>0</v>
      </c>
      <c r="Q160" s="43">
        <f t="shared" si="182"/>
        <v>0</v>
      </c>
      <c r="R160" s="43">
        <f t="shared" si="182"/>
        <v>0</v>
      </c>
      <c r="S160" s="43">
        <f t="shared" si="182"/>
        <v>0</v>
      </c>
      <c r="T160" s="43">
        <f t="shared" si="182"/>
        <v>0</v>
      </c>
      <c r="U160" s="43">
        <f t="shared" si="182"/>
        <v>0</v>
      </c>
      <c r="V160" s="43">
        <f t="shared" si="182"/>
        <v>0</v>
      </c>
      <c r="W160" s="43">
        <f t="shared" ref="W160" si="183">W158+W159</f>
        <v>0</v>
      </c>
    </row>
    <row r="161" spans="1:23" x14ac:dyDescent="0.3">
      <c r="A161" s="14" t="s">
        <v>479</v>
      </c>
      <c r="B161" s="43">
        <f>B70*1+B73</f>
        <v>13.699999999999989</v>
      </c>
      <c r="C161" s="43">
        <f>C70*1+C73</f>
        <v>63.3</v>
      </c>
      <c r="D161" s="43">
        <f>D70*1+D73</f>
        <v>96.3</v>
      </c>
      <c r="H161" s="43">
        <f t="shared" ref="H161:V161" si="184">H70*1+H73</f>
        <v>63.3</v>
      </c>
      <c r="I161" s="43">
        <f t="shared" si="184"/>
        <v>63.3</v>
      </c>
      <c r="J161" s="43">
        <f t="shared" si="184"/>
        <v>63.3</v>
      </c>
      <c r="K161" s="43">
        <f t="shared" si="184"/>
        <v>31.799999999999997</v>
      </c>
      <c r="L161" s="43">
        <f t="shared" si="184"/>
        <v>43.3</v>
      </c>
      <c r="M161" s="43">
        <f t="shared" si="184"/>
        <v>63.3</v>
      </c>
      <c r="N161" s="43">
        <f t="shared" si="184"/>
        <v>63.3</v>
      </c>
      <c r="O161" s="43">
        <f t="shared" si="184"/>
        <v>63.3</v>
      </c>
      <c r="P161" s="43">
        <f t="shared" si="184"/>
        <v>63.3</v>
      </c>
      <c r="Q161" s="43">
        <f t="shared" si="184"/>
        <v>63.3</v>
      </c>
      <c r="R161" s="43">
        <f t="shared" si="184"/>
        <v>63.3</v>
      </c>
      <c r="S161" s="43">
        <f t="shared" si="184"/>
        <v>63.3</v>
      </c>
      <c r="T161" s="43">
        <f t="shared" si="184"/>
        <v>63.3</v>
      </c>
      <c r="U161" s="43">
        <f t="shared" si="184"/>
        <v>63.3</v>
      </c>
      <c r="V161" s="43">
        <f t="shared" si="184"/>
        <v>63.3</v>
      </c>
      <c r="W161" s="43">
        <f t="shared" ref="W161" si="185">W70*1+W73</f>
        <v>63.3</v>
      </c>
    </row>
    <row r="162" spans="1:23" x14ac:dyDescent="0.3">
      <c r="A162" s="14" t="s">
        <v>480</v>
      </c>
      <c r="B162" s="43">
        <f>B27*B278</f>
        <v>0</v>
      </c>
      <c r="C162" s="43">
        <f>C27*C278</f>
        <v>45</v>
      </c>
      <c r="D162" s="43">
        <f>D27*D278</f>
        <v>45</v>
      </c>
      <c r="H162" s="43">
        <f>H27*H278</f>
        <v>45</v>
      </c>
      <c r="I162" s="43">
        <f t="shared" ref="I162:W162" si="186">I27*I278</f>
        <v>0</v>
      </c>
      <c r="J162" s="43">
        <f t="shared" si="186"/>
        <v>54</v>
      </c>
      <c r="K162" s="43">
        <f t="shared" si="186"/>
        <v>45</v>
      </c>
      <c r="L162" s="43">
        <f t="shared" si="186"/>
        <v>45</v>
      </c>
      <c r="M162" s="43">
        <f t="shared" si="186"/>
        <v>45</v>
      </c>
      <c r="N162" s="43">
        <f t="shared" si="186"/>
        <v>45</v>
      </c>
      <c r="O162" s="43">
        <f t="shared" si="186"/>
        <v>45</v>
      </c>
      <c r="P162" s="43">
        <f t="shared" si="186"/>
        <v>45</v>
      </c>
      <c r="Q162" s="43">
        <f t="shared" si="186"/>
        <v>45</v>
      </c>
      <c r="R162" s="43">
        <f t="shared" si="186"/>
        <v>45</v>
      </c>
      <c r="S162" s="43">
        <f t="shared" si="186"/>
        <v>45</v>
      </c>
      <c r="T162" s="43">
        <f t="shared" si="186"/>
        <v>45</v>
      </c>
      <c r="U162" s="43">
        <f t="shared" si="186"/>
        <v>45</v>
      </c>
      <c r="V162" s="43">
        <f t="shared" si="186"/>
        <v>45</v>
      </c>
      <c r="W162" s="43">
        <f t="shared" si="186"/>
        <v>45</v>
      </c>
    </row>
    <row r="163" spans="1:23" x14ac:dyDescent="0.3">
      <c r="A163" s="14" t="s">
        <v>481</v>
      </c>
      <c r="B163" s="43">
        <f>B161+B162</f>
        <v>13.699999999999989</v>
      </c>
      <c r="C163" s="43">
        <f>C161+C162</f>
        <v>108.3</v>
      </c>
      <c r="D163" s="43">
        <f>D161+D162</f>
        <v>141.30000000000001</v>
      </c>
      <c r="H163" s="43">
        <f t="shared" ref="H163:V163" si="187">H161+H162</f>
        <v>108.3</v>
      </c>
      <c r="I163" s="43">
        <f t="shared" si="187"/>
        <v>63.3</v>
      </c>
      <c r="J163" s="43">
        <f t="shared" si="187"/>
        <v>117.3</v>
      </c>
      <c r="K163" s="43">
        <f t="shared" si="187"/>
        <v>76.8</v>
      </c>
      <c r="L163" s="43">
        <f t="shared" si="187"/>
        <v>88.3</v>
      </c>
      <c r="M163" s="43">
        <f t="shared" si="187"/>
        <v>108.3</v>
      </c>
      <c r="N163" s="43">
        <f t="shared" si="187"/>
        <v>108.3</v>
      </c>
      <c r="O163" s="43">
        <f t="shared" si="187"/>
        <v>108.3</v>
      </c>
      <c r="P163" s="43">
        <f t="shared" si="187"/>
        <v>108.3</v>
      </c>
      <c r="Q163" s="43">
        <f t="shared" si="187"/>
        <v>108.3</v>
      </c>
      <c r="R163" s="43">
        <f t="shared" si="187"/>
        <v>108.3</v>
      </c>
      <c r="S163" s="43">
        <f t="shared" si="187"/>
        <v>108.3</v>
      </c>
      <c r="T163" s="43">
        <f t="shared" si="187"/>
        <v>108.3</v>
      </c>
      <c r="U163" s="43">
        <f t="shared" si="187"/>
        <v>108.3</v>
      </c>
      <c r="V163" s="43">
        <f t="shared" si="187"/>
        <v>108.3</v>
      </c>
      <c r="W163" s="43">
        <f t="shared" ref="W163" si="188">W161+W162</f>
        <v>108.3</v>
      </c>
    </row>
    <row r="164" spans="1:23" x14ac:dyDescent="0.3">
      <c r="A164" s="14" t="s">
        <v>805</v>
      </c>
      <c r="B164" s="43">
        <f>B71*1+B73-B36*MAX(0,B161)-B158</f>
        <v>40.329999999999991</v>
      </c>
      <c r="C164" s="43">
        <f>C71*1+C73-C36*MAX(0,C161)-C158</f>
        <v>81.17</v>
      </c>
      <c r="D164" s="43">
        <f>D71*1+D73-D36*MAX(0,D161)-D158</f>
        <v>110.87</v>
      </c>
      <c r="H164" s="43">
        <f t="shared" ref="H164:W164" si="189">H71*1+H73-H36*MAX(0,H161)-H158</f>
        <v>81.17</v>
      </c>
      <c r="I164" s="43">
        <f t="shared" si="189"/>
        <v>81.17</v>
      </c>
      <c r="J164" s="43">
        <f t="shared" si="189"/>
        <v>81.17</v>
      </c>
      <c r="K164" s="43">
        <f t="shared" si="189"/>
        <v>52.82</v>
      </c>
      <c r="L164" s="43">
        <f t="shared" si="189"/>
        <v>63.17</v>
      </c>
      <c r="M164" s="43">
        <f t="shared" si="189"/>
        <v>81.17</v>
      </c>
      <c r="N164" s="43">
        <f t="shared" si="189"/>
        <v>81.17</v>
      </c>
      <c r="O164" s="43">
        <f t="shared" si="189"/>
        <v>81.17</v>
      </c>
      <c r="P164" s="43">
        <f t="shared" si="189"/>
        <v>81.17</v>
      </c>
      <c r="Q164" s="43">
        <f t="shared" si="189"/>
        <v>81.17</v>
      </c>
      <c r="R164" s="43">
        <f t="shared" si="189"/>
        <v>81.17</v>
      </c>
      <c r="S164" s="43">
        <f t="shared" si="189"/>
        <v>81.17</v>
      </c>
      <c r="T164" s="43">
        <f t="shared" si="189"/>
        <v>81.17</v>
      </c>
      <c r="U164" s="43">
        <f t="shared" si="189"/>
        <v>81.17</v>
      </c>
      <c r="V164" s="43">
        <f t="shared" si="189"/>
        <v>81.17</v>
      </c>
      <c r="W164" s="43">
        <f t="shared" si="189"/>
        <v>81.17</v>
      </c>
    </row>
    <row r="165" spans="1:23" x14ac:dyDescent="0.3">
      <c r="A165" s="14" t="s">
        <v>482</v>
      </c>
      <c r="B165" s="43">
        <f>B162*(1-B36)-B159</f>
        <v>-409.4615</v>
      </c>
      <c r="C165" s="43">
        <f>C162*(1-C36)-C159</f>
        <v>40.5</v>
      </c>
      <c r="D165" s="43">
        <f>D162*(1-D36)-D159</f>
        <v>40.5</v>
      </c>
      <c r="H165" s="43">
        <f t="shared" ref="H165:V165" si="190">H162*(1-H36)-H159</f>
        <v>40.5</v>
      </c>
      <c r="I165" s="43">
        <f t="shared" si="190"/>
        <v>0</v>
      </c>
      <c r="J165" s="43">
        <f t="shared" si="190"/>
        <v>48.6</v>
      </c>
      <c r="K165" s="43">
        <f t="shared" si="190"/>
        <v>40.5</v>
      </c>
      <c r="L165" s="43">
        <f t="shared" si="190"/>
        <v>40.5</v>
      </c>
      <c r="M165" s="43">
        <f t="shared" si="190"/>
        <v>40.5</v>
      </c>
      <c r="N165" s="43">
        <f t="shared" si="190"/>
        <v>40.5</v>
      </c>
      <c r="O165" s="43">
        <f t="shared" si="190"/>
        <v>40.5</v>
      </c>
      <c r="P165" s="43">
        <f t="shared" si="190"/>
        <v>40.5</v>
      </c>
      <c r="Q165" s="43">
        <f t="shared" si="190"/>
        <v>40.5</v>
      </c>
      <c r="R165" s="43">
        <f t="shared" si="190"/>
        <v>40.5</v>
      </c>
      <c r="S165" s="43">
        <f t="shared" si="190"/>
        <v>40.5</v>
      </c>
      <c r="T165" s="43">
        <f t="shared" si="190"/>
        <v>40.5</v>
      </c>
      <c r="U165" s="43">
        <f t="shared" si="190"/>
        <v>40.5</v>
      </c>
      <c r="V165" s="43">
        <f t="shared" si="190"/>
        <v>40.5</v>
      </c>
      <c r="W165" s="43">
        <f t="shared" ref="W165" si="191">W162*(1-W36)-W159</f>
        <v>40.5</v>
      </c>
    </row>
    <row r="166" spans="1:23" x14ac:dyDescent="0.3">
      <c r="A166" s="14" t="s">
        <v>483</v>
      </c>
      <c r="B166" s="43">
        <f>B164/(1+B45)^4</f>
        <v>25.249564865968448</v>
      </c>
      <c r="C166" s="43">
        <f>C164/(1+C45)^4</f>
        <v>50.818427477576478</v>
      </c>
      <c r="D166" s="43">
        <f>D164/(1+D45)^4</f>
        <v>69.412825605998577</v>
      </c>
      <c r="H166" s="43">
        <f t="shared" ref="H166:V166" si="192">H164/(1+H45)^4</f>
        <v>50.818427477576478</v>
      </c>
      <c r="I166" s="43">
        <f t="shared" si="192"/>
        <v>50.818427477576478</v>
      </c>
      <c r="J166" s="43">
        <f t="shared" si="192"/>
        <v>50.818427477576478</v>
      </c>
      <c r="K166" s="43">
        <f t="shared" si="192"/>
        <v>33.069229264082658</v>
      </c>
      <c r="L166" s="43">
        <f t="shared" si="192"/>
        <v>39.549095278532782</v>
      </c>
      <c r="M166" s="43">
        <f t="shared" si="192"/>
        <v>49.607247015287108</v>
      </c>
      <c r="N166" s="43">
        <f t="shared" si="192"/>
        <v>50.818427477576478</v>
      </c>
      <c r="O166" s="43">
        <f t="shared" si="192"/>
        <v>50.818427477576478</v>
      </c>
      <c r="P166" s="43">
        <f t="shared" si="192"/>
        <v>50.818427477576478</v>
      </c>
      <c r="Q166" s="43">
        <f t="shared" si="192"/>
        <v>50.818427477576478</v>
      </c>
      <c r="R166" s="43">
        <f t="shared" si="192"/>
        <v>50.818427477576478</v>
      </c>
      <c r="S166" s="43">
        <f t="shared" si="192"/>
        <v>50.818427477576478</v>
      </c>
      <c r="T166" s="43">
        <f t="shared" si="192"/>
        <v>50.818427477576478</v>
      </c>
      <c r="U166" s="43">
        <f t="shared" si="192"/>
        <v>50.818427477576478</v>
      </c>
      <c r="V166" s="43">
        <f t="shared" si="192"/>
        <v>50.818427477576478</v>
      </c>
      <c r="W166" s="43">
        <f t="shared" ref="W166" si="193">W164/(1+W45)^4</f>
        <v>50.818427477576478</v>
      </c>
    </row>
    <row r="167" spans="1:23" x14ac:dyDescent="0.3">
      <c r="A167" s="14" t="s">
        <v>484</v>
      </c>
      <c r="B167" s="43">
        <f>B165/(1+B45)^4</f>
        <v>-256.35320367881826</v>
      </c>
      <c r="C167" s="43">
        <f>C165/(1+C45)^4</f>
        <v>25.35599744784831</v>
      </c>
      <c r="D167" s="43">
        <f>D165/(1+D45)^4</f>
        <v>25.35599744784831</v>
      </c>
      <c r="H167" s="43">
        <f t="shared" ref="H167:V167" si="194">H165/(1+H45)^4</f>
        <v>25.35599744784831</v>
      </c>
      <c r="I167" s="43">
        <f t="shared" si="194"/>
        <v>0</v>
      </c>
      <c r="J167" s="43">
        <f t="shared" si="194"/>
        <v>30.427196937417971</v>
      </c>
      <c r="K167" s="43">
        <f t="shared" si="194"/>
        <v>25.35599744784831</v>
      </c>
      <c r="L167" s="43">
        <f t="shared" si="194"/>
        <v>25.35599744784831</v>
      </c>
      <c r="M167" s="43">
        <f t="shared" si="194"/>
        <v>24.751675546619783</v>
      </c>
      <c r="N167" s="43">
        <f t="shared" si="194"/>
        <v>25.35599744784831</v>
      </c>
      <c r="O167" s="43">
        <f t="shared" si="194"/>
        <v>25.35599744784831</v>
      </c>
      <c r="P167" s="43">
        <f t="shared" si="194"/>
        <v>25.35599744784831</v>
      </c>
      <c r="Q167" s="43">
        <f t="shared" si="194"/>
        <v>25.35599744784831</v>
      </c>
      <c r="R167" s="43">
        <f t="shared" si="194"/>
        <v>25.35599744784831</v>
      </c>
      <c r="S167" s="43">
        <f t="shared" si="194"/>
        <v>25.35599744784831</v>
      </c>
      <c r="T167" s="43">
        <f t="shared" si="194"/>
        <v>25.35599744784831</v>
      </c>
      <c r="U167" s="43">
        <f t="shared" si="194"/>
        <v>25.35599744784831</v>
      </c>
      <c r="V167" s="43">
        <f t="shared" si="194"/>
        <v>25.35599744784831</v>
      </c>
      <c r="W167" s="43">
        <f t="shared" ref="W167" si="195">W165/(1+W45)^4</f>
        <v>25.35599744784831</v>
      </c>
    </row>
    <row r="168" spans="1:23" x14ac:dyDescent="0.3">
      <c r="A168" s="14" t="s">
        <v>485</v>
      </c>
      <c r="B168" s="43">
        <f>IF(B148&gt;0,B16,B38)*B148</f>
        <v>56.731155302633532</v>
      </c>
      <c r="C168" s="43">
        <f>IF(C148&gt;0,C16,C38)*C148</f>
        <v>22.661790022102803</v>
      </c>
      <c r="D168" s="43">
        <f>IF(D148&gt;0,D16,D38)*D148</f>
        <v>30.16065340986782</v>
      </c>
      <c r="H168" s="43">
        <f t="shared" ref="H168:V168" si="196">IF(H148&gt;0,H16,H38)*H148</f>
        <v>22.661790022102803</v>
      </c>
      <c r="I168" s="43">
        <f t="shared" si="196"/>
        <v>73.752232194102817</v>
      </c>
      <c r="J168" s="43">
        <f t="shared" si="196"/>
        <v>24.864089623165206</v>
      </c>
      <c r="K168" s="43">
        <f t="shared" si="196"/>
        <v>17.49798194834278</v>
      </c>
      <c r="L168" s="43">
        <f t="shared" si="196"/>
        <v>19.383181721302801</v>
      </c>
      <c r="M168" s="43">
        <f t="shared" si="196"/>
        <v>22.661790022102803</v>
      </c>
      <c r="N168" s="43">
        <f t="shared" si="196"/>
        <v>22.661790022102803</v>
      </c>
      <c r="O168" s="43">
        <f t="shared" si="196"/>
        <v>34.803689638102803</v>
      </c>
      <c r="P168" s="43">
        <f t="shared" si="196"/>
        <v>19.696465717946424</v>
      </c>
      <c r="Q168" s="43">
        <f t="shared" si="196"/>
        <v>25.385345545382268</v>
      </c>
      <c r="R168" s="43">
        <f t="shared" si="196"/>
        <v>20.990798869129627</v>
      </c>
      <c r="S168" s="43">
        <f t="shared" si="196"/>
        <v>22.661790022102803</v>
      </c>
      <c r="T168" s="43">
        <f t="shared" si="196"/>
        <v>22.661790022102803</v>
      </c>
      <c r="U168" s="43">
        <f t="shared" si="196"/>
        <v>25.55433262692042</v>
      </c>
      <c r="V168" s="43">
        <f t="shared" si="196"/>
        <v>22.661790022102803</v>
      </c>
      <c r="W168" s="43">
        <f t="shared" ref="W168" si="197">IF(W148&gt;0,W16,W38)*W148</f>
        <v>23.192521619108078</v>
      </c>
    </row>
    <row r="169" spans="1:23" x14ac:dyDescent="0.3">
      <c r="A169" s="14" t="s">
        <v>486</v>
      </c>
      <c r="B169" s="43">
        <f>B154+B163+B168*(1-B37)</f>
        <v>189.03547005856663</v>
      </c>
      <c r="C169" s="43">
        <f>C154+C163+C168*(1-C37)</f>
        <v>334.60722042581062</v>
      </c>
      <c r="D169" s="43">
        <f>D154+D163+D168*(1-D37)</f>
        <v>458.46086575179299</v>
      </c>
      <c r="H169" s="43">
        <f t="shared" ref="H169:V169" si="198">H154+H163+H168*(1-H37)</f>
        <v>334.60722042581062</v>
      </c>
      <c r="I169" s="43">
        <f t="shared" si="198"/>
        <v>330.47957416341063</v>
      </c>
      <c r="J169" s="43">
        <f t="shared" si="198"/>
        <v>345.36906010666053</v>
      </c>
      <c r="K169" s="43">
        <f t="shared" si="198"/>
        <v>298.97617396680261</v>
      </c>
      <c r="L169" s="43">
        <f t="shared" si="198"/>
        <v>311.98433378517063</v>
      </c>
      <c r="M169" s="43">
        <f t="shared" si="198"/>
        <v>334.60722042581062</v>
      </c>
      <c r="N169" s="43">
        <f t="shared" si="198"/>
        <v>334.60722042581062</v>
      </c>
      <c r="O169" s="43">
        <f t="shared" si="198"/>
        <v>344.32074011861062</v>
      </c>
      <c r="P169" s="43">
        <f t="shared" si="198"/>
        <v>310.41954494048849</v>
      </c>
      <c r="Q169" s="43">
        <f t="shared" si="198"/>
        <v>356.82282668209905</v>
      </c>
      <c r="R169" s="43">
        <f t="shared" si="198"/>
        <v>324.34197069351882</v>
      </c>
      <c r="S169" s="43">
        <f t="shared" si="198"/>
        <v>334.60722042581062</v>
      </c>
      <c r="T169" s="43">
        <f t="shared" si="198"/>
        <v>334.60722042581062</v>
      </c>
      <c r="U169" s="43">
        <f t="shared" si="198"/>
        <v>352.37671737791305</v>
      </c>
      <c r="V169" s="43">
        <f t="shared" si="198"/>
        <v>334.60722042581062</v>
      </c>
      <c r="W169" s="43">
        <f t="shared" ref="W169" si="199">W154+W163+W168*(1-W37)</f>
        <v>339.66196333284017</v>
      </c>
    </row>
    <row r="170" spans="1:23" x14ac:dyDescent="0.3">
      <c r="A170" s="14" t="s">
        <v>487</v>
      </c>
      <c r="B170" s="27">
        <f>B15*'01_Số liệu gốc'!$B$8/1000</f>
        <v>110</v>
      </c>
      <c r="C170" s="27">
        <f>C15*'01_Số liệu gốc'!$B$8/1000</f>
        <v>165</v>
      </c>
      <c r="D170" s="27">
        <f>D15*'01_Số liệu gốc'!$B$8/1000</f>
        <v>220</v>
      </c>
      <c r="H170" s="27">
        <f>H15*'01_Số liệu gốc'!$B$8/1000</f>
        <v>165</v>
      </c>
      <c r="I170" s="27">
        <f>I15*'01_Số liệu gốc'!$B$8/1000</f>
        <v>165</v>
      </c>
      <c r="J170" s="27">
        <f>J15*'01_Số liệu gốc'!$B$8/1000</f>
        <v>165</v>
      </c>
      <c r="K170" s="27">
        <f>K15*'01_Số liệu gốc'!$B$8/1000</f>
        <v>165</v>
      </c>
      <c r="L170" s="27">
        <f>L15*'01_Số liệu gốc'!$B$8/1000</f>
        <v>165</v>
      </c>
      <c r="M170" s="27">
        <f>M15*'01_Số liệu gốc'!$B$8/1000</f>
        <v>165</v>
      </c>
      <c r="N170" s="27">
        <f>N15*'01_Số liệu gốc'!$B$8/1000</f>
        <v>165</v>
      </c>
      <c r="O170" s="27">
        <f>O15*'01_Số liệu gốc'!$B$8/1000</f>
        <v>110</v>
      </c>
      <c r="P170" s="27">
        <f>P15*'01_Số liệu gốc'!$B$8/1000</f>
        <v>165</v>
      </c>
      <c r="Q170" s="27">
        <f>Q15*'01_Số liệu gốc'!$B$8/1000</f>
        <v>165</v>
      </c>
      <c r="R170" s="27">
        <f>R15*'01_Số liệu gốc'!$B$8/1000</f>
        <v>165</v>
      </c>
      <c r="S170" s="27">
        <f>S15*'01_Số liệu gốc'!$B$8/1000</f>
        <v>165</v>
      </c>
      <c r="T170" s="27">
        <f>T15*'01_Số liệu gốc'!$B$8/1000</f>
        <v>165</v>
      </c>
      <c r="U170" s="27">
        <f>U15*'01_Số liệu gốc'!$B$8/1000</f>
        <v>165</v>
      </c>
      <c r="V170" s="27">
        <f>V15*'01_Số liệu gốc'!$B$8/1000</f>
        <v>165</v>
      </c>
      <c r="W170" s="27">
        <f>W15*'01_Số liệu gốc'!$B$8/1000</f>
        <v>165</v>
      </c>
    </row>
    <row r="171" spans="1:23" x14ac:dyDescent="0.3">
      <c r="A171" s="14" t="s">
        <v>488</v>
      </c>
      <c r="B171" s="43">
        <f>(B69-B24)*1</f>
        <v>28</v>
      </c>
      <c r="C171" s="43">
        <f>(C69-C24)*1</f>
        <v>24.200000000000003</v>
      </c>
      <c r="D171" s="43">
        <f>(D69-D24)*1</f>
        <v>24.200000000000003</v>
      </c>
      <c r="H171" s="43">
        <f t="shared" ref="H171:V171" si="200">(H69-H24)*1</f>
        <v>24.200000000000003</v>
      </c>
      <c r="I171" s="43">
        <f t="shared" si="200"/>
        <v>24.200000000000003</v>
      </c>
      <c r="J171" s="43">
        <f t="shared" si="200"/>
        <v>24.200000000000003</v>
      </c>
      <c r="K171" s="43">
        <f t="shared" si="200"/>
        <v>24.200000000000003</v>
      </c>
      <c r="L171" s="43">
        <f t="shared" si="200"/>
        <v>24.200000000000003</v>
      </c>
      <c r="M171" s="43">
        <f t="shared" si="200"/>
        <v>24.200000000000003</v>
      </c>
      <c r="N171" s="43">
        <f t="shared" si="200"/>
        <v>24.200000000000003</v>
      </c>
      <c r="O171" s="43">
        <f t="shared" si="200"/>
        <v>24.200000000000003</v>
      </c>
      <c r="P171" s="43">
        <f t="shared" si="200"/>
        <v>24.200000000000003</v>
      </c>
      <c r="Q171" s="43">
        <f t="shared" si="200"/>
        <v>24.200000000000003</v>
      </c>
      <c r="R171" s="43">
        <f t="shared" si="200"/>
        <v>24.200000000000003</v>
      </c>
      <c r="S171" s="43">
        <f t="shared" si="200"/>
        <v>24.200000000000003</v>
      </c>
      <c r="T171" s="43">
        <f t="shared" si="200"/>
        <v>24.200000000000003</v>
      </c>
      <c r="U171" s="43">
        <f t="shared" si="200"/>
        <v>24.200000000000003</v>
      </c>
      <c r="V171" s="43">
        <f t="shared" si="200"/>
        <v>24.200000000000003</v>
      </c>
      <c r="W171" s="43">
        <f t="shared" ref="W171" si="201">(W69-W24)*1</f>
        <v>24.200000000000003</v>
      </c>
    </row>
    <row r="172" spans="1:23" x14ac:dyDescent="0.3">
      <c r="A172" s="9" t="s">
        <v>489</v>
      </c>
      <c r="B172" s="67">
        <f>B148+B169*(1-B36)-B170-B160-B155+B171</f>
        <v>551.45742770861045</v>
      </c>
      <c r="C172" s="67">
        <f>C148+C169*(1-C36)-C170-C160-C155+C171</f>
        <v>471.015766391841</v>
      </c>
      <c r="D172" s="67">
        <f>D148+D169*(1-D36)-D170-D160-D155+D171</f>
        <v>594.3753871415181</v>
      </c>
      <c r="H172" s="67">
        <f t="shared" ref="H172:V172" si="202">H148+H169*(1-H36)-H170-H160-H155+H171</f>
        <v>471.015766391841</v>
      </c>
      <c r="I172" s="67">
        <f t="shared" si="202"/>
        <v>1197.1643443556814</v>
      </c>
      <c r="J172" s="67">
        <f t="shared" si="202"/>
        <v>512.16284497692595</v>
      </c>
      <c r="K172" s="67">
        <f t="shared" si="202"/>
        <v>365.17913781073355</v>
      </c>
      <c r="L172" s="67">
        <f t="shared" si="202"/>
        <v>403.81790697526492</v>
      </c>
      <c r="M172" s="67">
        <f t="shared" si="202"/>
        <v>471.015766391841</v>
      </c>
      <c r="N172" s="67">
        <f t="shared" si="202"/>
        <v>471.015766391841</v>
      </c>
      <c r="O172" s="67">
        <f t="shared" si="202"/>
        <v>708.21364291536111</v>
      </c>
      <c r="P172" s="67">
        <f t="shared" si="202"/>
        <v>408.17406351424256</v>
      </c>
      <c r="Q172" s="67">
        <f t="shared" si="202"/>
        <v>528.73386040424714</v>
      </c>
      <c r="R172" s="67">
        <f t="shared" si="202"/>
        <v>437.90573944744733</v>
      </c>
      <c r="S172" s="67">
        <f t="shared" si="202"/>
        <v>471.015766391841</v>
      </c>
      <c r="T172" s="67">
        <f t="shared" si="202"/>
        <v>471.015766391841</v>
      </c>
      <c r="U172" s="67">
        <f t="shared" si="202"/>
        <v>528.33035086041343</v>
      </c>
      <c r="V172" s="67">
        <f t="shared" si="202"/>
        <v>471.015766391841</v>
      </c>
      <c r="W172" s="67">
        <f t="shared" ref="W172" si="203">W148+W169*(1-W36)-W170-W160-W155+W171</f>
        <v>483.1469149653858</v>
      </c>
    </row>
    <row r="173" spans="1:23" x14ac:dyDescent="0.3">
      <c r="A173" s="14" t="s">
        <v>490</v>
      </c>
      <c r="B173" s="43">
        <f>B149+B169*(1-B36)-B170</f>
        <v>2571.7499277086108</v>
      </c>
      <c r="C173" s="43">
        <f>C149+C169*(1-C36)-C170</f>
        <v>2779.1059508418407</v>
      </c>
      <c r="D173" s="43">
        <f>D149+D169*(1-D36)-D170</f>
        <v>2948.1388546415183</v>
      </c>
      <c r="H173" s="43">
        <f t="shared" ref="H173:V173" si="204">H149+H169*(1-H36)-H170</f>
        <v>2779.1059508418407</v>
      </c>
      <c r="I173" s="43">
        <f t="shared" si="204"/>
        <v>2793.3315288056806</v>
      </c>
      <c r="J173" s="43">
        <f t="shared" si="204"/>
        <v>2820.2530294269259</v>
      </c>
      <c r="K173" s="43">
        <f t="shared" si="204"/>
        <v>2673.2693222607331</v>
      </c>
      <c r="L173" s="43">
        <f t="shared" si="204"/>
        <v>2711.908091425265</v>
      </c>
      <c r="M173" s="43">
        <f t="shared" si="204"/>
        <v>2779.1059508418407</v>
      </c>
      <c r="N173" s="43">
        <f t="shared" si="204"/>
        <v>2779.1059508418407</v>
      </c>
      <c r="O173" s="43">
        <f t="shared" si="204"/>
        <v>3016.3038273653606</v>
      </c>
      <c r="P173" s="43">
        <f t="shared" si="204"/>
        <v>2700.3306393695884</v>
      </c>
      <c r="Q173" s="43">
        <f t="shared" si="204"/>
        <v>2851.4585546894491</v>
      </c>
      <c r="R173" s="43">
        <f t="shared" si="204"/>
        <v>2745.995923897447</v>
      </c>
      <c r="S173" s="43">
        <f t="shared" si="204"/>
        <v>2779.1059508418407</v>
      </c>
      <c r="T173" s="43">
        <f t="shared" si="204"/>
        <v>2779.1059508418407</v>
      </c>
      <c r="U173" s="43">
        <f t="shared" si="204"/>
        <v>2836.4205353104135</v>
      </c>
      <c r="V173" s="43">
        <f t="shared" si="204"/>
        <v>2779.1059508418407</v>
      </c>
      <c r="W173" s="43">
        <f t="shared" ref="W173" si="205">W149+W169*(1-W36)-W170</f>
        <v>2791.2370994153857</v>
      </c>
    </row>
    <row r="174" spans="1:23" x14ac:dyDescent="0.3">
      <c r="A174" s="14" t="s">
        <v>491</v>
      </c>
      <c r="B174" s="43">
        <f>B170/(1+B44)^4</f>
        <v>71.878440534346382</v>
      </c>
      <c r="C174" s="43">
        <f>C170/(1+C44)^4</f>
        <v>107.81766080151958</v>
      </c>
      <c r="D174" s="43">
        <f>D170/(1+D44)^4</f>
        <v>143.75688106869276</v>
      </c>
      <c r="H174" s="43">
        <f t="shared" ref="H174:V174" si="206">H170/(1+H44)^4</f>
        <v>107.81766080151958</v>
      </c>
      <c r="I174" s="43">
        <f t="shared" si="206"/>
        <v>107.81766080151958</v>
      </c>
      <c r="J174" s="43">
        <f t="shared" si="206"/>
        <v>107.81766080151958</v>
      </c>
      <c r="K174" s="43">
        <f t="shared" si="206"/>
        <v>107.81766080151958</v>
      </c>
      <c r="L174" s="43">
        <f t="shared" si="206"/>
        <v>107.81766080151958</v>
      </c>
      <c r="M174" s="43">
        <f t="shared" si="206"/>
        <v>105.61284213119053</v>
      </c>
      <c r="N174" s="43">
        <f t="shared" si="206"/>
        <v>103.30221182456718</v>
      </c>
      <c r="O174" s="43">
        <f t="shared" si="206"/>
        <v>71.878440534346382</v>
      </c>
      <c r="P174" s="43">
        <f t="shared" si="206"/>
        <v>107.81766080151958</v>
      </c>
      <c r="Q174" s="43">
        <f t="shared" si="206"/>
        <v>107.81766080151958</v>
      </c>
      <c r="R174" s="43">
        <f t="shared" si="206"/>
        <v>107.81766080151958</v>
      </c>
      <c r="S174" s="43">
        <f t="shared" si="206"/>
        <v>107.81766080151958</v>
      </c>
      <c r="T174" s="43">
        <f t="shared" si="206"/>
        <v>107.81766080151958</v>
      </c>
      <c r="U174" s="43">
        <f t="shared" si="206"/>
        <v>107.81766080151958</v>
      </c>
      <c r="V174" s="43">
        <f t="shared" si="206"/>
        <v>110.35133761685171</v>
      </c>
      <c r="W174" s="43">
        <f t="shared" ref="W174" si="207">W170/(1+W44)^4</f>
        <v>107.81766080151958</v>
      </c>
    </row>
    <row r="175" spans="1:23" x14ac:dyDescent="0.3">
      <c r="A175" s="51" t="s">
        <v>809</v>
      </c>
      <c r="B175" s="52"/>
      <c r="C175" s="52"/>
      <c r="D175" s="52"/>
      <c r="E175" s="52"/>
      <c r="F175" s="52"/>
      <c r="G175" s="52"/>
      <c r="H175" s="52"/>
      <c r="I175" s="52"/>
      <c r="J175" s="52"/>
      <c r="K175" s="52"/>
      <c r="L175" s="52"/>
      <c r="M175" s="52"/>
      <c r="N175" s="52"/>
      <c r="O175" s="52"/>
      <c r="P175" s="52"/>
      <c r="Q175" s="52"/>
      <c r="R175" s="52"/>
      <c r="S175" s="52"/>
      <c r="T175" s="52"/>
      <c r="U175" s="52"/>
      <c r="V175" s="52"/>
      <c r="W175" s="52"/>
    </row>
    <row r="176" spans="1:23" x14ac:dyDescent="0.3">
      <c r="A176" s="14" t="s">
        <v>472</v>
      </c>
      <c r="B176" s="43">
        <f>B6*(1+B11)^4</f>
        <v>2200</v>
      </c>
      <c r="C176" s="43">
        <f>C6*(1+C11)^4</f>
        <v>2757.4965844999997</v>
      </c>
      <c r="D176" s="43">
        <f>D6*(1+D11)^4</f>
        <v>3281.8668750000002</v>
      </c>
      <c r="H176" s="43">
        <f t="shared" ref="H176:V176" si="208">H6*(1+H11)^4</f>
        <v>2757.4965844999997</v>
      </c>
      <c r="I176" s="43">
        <f t="shared" si="208"/>
        <v>2757.4965844999997</v>
      </c>
      <c r="J176" s="43">
        <f t="shared" si="208"/>
        <v>2757.4965844999997</v>
      </c>
      <c r="K176" s="43">
        <f t="shared" si="208"/>
        <v>2757.4965844999997</v>
      </c>
      <c r="L176" s="43">
        <f t="shared" si="208"/>
        <v>2757.4965844999997</v>
      </c>
      <c r="M176" s="43">
        <f t="shared" si="208"/>
        <v>2757.4965844999997</v>
      </c>
      <c r="N176" s="43">
        <f t="shared" si="208"/>
        <v>2757.4965844999997</v>
      </c>
      <c r="O176" s="43">
        <f t="shared" si="208"/>
        <v>2757.4965844999997</v>
      </c>
      <c r="P176" s="43">
        <f t="shared" si="208"/>
        <v>2438.7367323846597</v>
      </c>
      <c r="Q176" s="43">
        <f t="shared" si="208"/>
        <v>3050.2673126836294</v>
      </c>
      <c r="R176" s="43">
        <f t="shared" si="208"/>
        <v>2757.4965844999997</v>
      </c>
      <c r="S176" s="43">
        <f t="shared" si="208"/>
        <v>2757.4965844999997</v>
      </c>
      <c r="T176" s="43">
        <f t="shared" si="208"/>
        <v>2757.4965844999997</v>
      </c>
      <c r="U176" s="43">
        <f t="shared" si="208"/>
        <v>2757.4965844999997</v>
      </c>
      <c r="V176" s="43">
        <f t="shared" si="208"/>
        <v>2757.4965844999997</v>
      </c>
      <c r="W176" s="43">
        <f t="shared" ref="W176" si="209">W6*(1+W11)^4</f>
        <v>2757.4965844999997</v>
      </c>
    </row>
    <row r="177" spans="1:23" x14ac:dyDescent="0.3">
      <c r="A177" s="14" t="s">
        <v>473</v>
      </c>
      <c r="B177" s="43">
        <f>B40*B7+(B53-B9)*B176-B42*(1+B35)^4</f>
        <v>141.52430701050531</v>
      </c>
      <c r="C177" s="43">
        <f>C40*C7+(C53-C9)*C176-C42*(1+C35)^4</f>
        <v>233.7098044619475</v>
      </c>
      <c r="D177" s="43">
        <f>D40*D7+(D53-D9)*D176-D42*(1+D35)^4</f>
        <v>335.96656901065228</v>
      </c>
      <c r="H177" s="43">
        <f t="shared" ref="H177:V177" si="210">H40*H7+(H53-H9)*H176-H42*(1+H35)^4</f>
        <v>233.7098044619475</v>
      </c>
      <c r="I177" s="43">
        <f t="shared" si="210"/>
        <v>233.7098044619475</v>
      </c>
      <c r="J177" s="43">
        <f t="shared" si="210"/>
        <v>233.7098044619475</v>
      </c>
      <c r="K177" s="43">
        <f t="shared" si="210"/>
        <v>233.7098044619475</v>
      </c>
      <c r="L177" s="43">
        <f t="shared" si="210"/>
        <v>233.7098044619475</v>
      </c>
      <c r="M177" s="43">
        <f t="shared" si="210"/>
        <v>233.7098044619475</v>
      </c>
      <c r="N177" s="43">
        <f t="shared" si="210"/>
        <v>233.7098044619475</v>
      </c>
      <c r="O177" s="43">
        <f t="shared" si="210"/>
        <v>233.7098044619475</v>
      </c>
      <c r="P177" s="43">
        <f t="shared" si="210"/>
        <v>209.01763026056619</v>
      </c>
      <c r="Q177" s="43">
        <f t="shared" si="210"/>
        <v>256.3887766518319</v>
      </c>
      <c r="R177" s="43">
        <f t="shared" si="210"/>
        <v>223.60396873204564</v>
      </c>
      <c r="S177" s="43">
        <f t="shared" si="210"/>
        <v>233.7098044619475</v>
      </c>
      <c r="T177" s="43">
        <f t="shared" si="210"/>
        <v>233.7098044619475</v>
      </c>
      <c r="U177" s="43">
        <f t="shared" si="210"/>
        <v>251.20335034578903</v>
      </c>
      <c r="V177" s="43">
        <f t="shared" si="210"/>
        <v>233.7098044619475</v>
      </c>
      <c r="W177" s="43">
        <f t="shared" ref="W177" si="211">W40*W7+(W53-W9)*W176-W42*(1+W35)^4</f>
        <v>239.91053232822009</v>
      </c>
    </row>
    <row r="178" spans="1:23" x14ac:dyDescent="0.3">
      <c r="A178" s="14" t="s">
        <v>474</v>
      </c>
      <c r="B178" s="43">
        <f>B177*(1-B10)</f>
        <v>128.78711937955984</v>
      </c>
      <c r="C178" s="43">
        <f>C177*(1-C10)</f>
        <v>212.67592206037224</v>
      </c>
      <c r="D178" s="43">
        <f>D177*(1-D10)</f>
        <v>305.72957779969357</v>
      </c>
      <c r="H178" s="43">
        <f t="shared" ref="H178:V178" si="212">H177*(1-H10)</f>
        <v>212.67592206037224</v>
      </c>
      <c r="I178" s="43">
        <f t="shared" si="212"/>
        <v>212.67592206037224</v>
      </c>
      <c r="J178" s="43">
        <f t="shared" si="212"/>
        <v>212.67592206037224</v>
      </c>
      <c r="K178" s="43">
        <f t="shared" si="212"/>
        <v>212.67592206037224</v>
      </c>
      <c r="L178" s="43">
        <f t="shared" si="212"/>
        <v>212.67592206037224</v>
      </c>
      <c r="M178" s="43">
        <f t="shared" si="212"/>
        <v>212.67592206037224</v>
      </c>
      <c r="N178" s="43">
        <f t="shared" si="212"/>
        <v>212.67592206037224</v>
      </c>
      <c r="O178" s="43">
        <f t="shared" si="212"/>
        <v>212.67592206037224</v>
      </c>
      <c r="P178" s="43">
        <f t="shared" si="212"/>
        <v>190.20604353711525</v>
      </c>
      <c r="Q178" s="43">
        <f t="shared" si="212"/>
        <v>233.31378675316705</v>
      </c>
      <c r="R178" s="43">
        <f t="shared" si="212"/>
        <v>203.47961154616155</v>
      </c>
      <c r="S178" s="43">
        <f t="shared" si="212"/>
        <v>212.67592206037224</v>
      </c>
      <c r="T178" s="43">
        <f t="shared" si="212"/>
        <v>212.67592206037224</v>
      </c>
      <c r="U178" s="43">
        <f t="shared" si="212"/>
        <v>228.59504881466802</v>
      </c>
      <c r="V178" s="43">
        <f t="shared" si="212"/>
        <v>212.67592206037224</v>
      </c>
      <c r="W178" s="43">
        <f t="shared" ref="W178" si="213">W177*(1-W10)</f>
        <v>218.31858441868027</v>
      </c>
    </row>
    <row r="179" spans="1:23" x14ac:dyDescent="0.3">
      <c r="A179" s="14" t="s">
        <v>803</v>
      </c>
      <c r="B179" s="43">
        <f>(B46-B47)*(B176+B7)+B48*IF((B176-B152)&lt;0,B49,1)*(B176-B152)</f>
        <v>0</v>
      </c>
      <c r="C179" s="43">
        <f>(C46-C47)*(C176+C7)+C48*IF((C176-C152)&lt;0,C49,1)*(C176-C152)</f>
        <v>13.405107133499989</v>
      </c>
      <c r="D179" s="43">
        <f>(D46-D47)*(D176+D7)+D48*IF((D176-D152)&lt;0,D49,1)*(D176-D152)</f>
        <v>25.66050937499999</v>
      </c>
      <c r="H179" s="43">
        <f t="shared" ref="H179:W179" si="214">(H46-H47)*(H176+H7)+H48*IF((H176-H152)&lt;0,H49,1)*(H176-H152)</f>
        <v>13.405107133499989</v>
      </c>
      <c r="I179" s="43">
        <f t="shared" si="214"/>
        <v>13.405107133499989</v>
      </c>
      <c r="J179" s="43">
        <f t="shared" si="214"/>
        <v>13.405107133499989</v>
      </c>
      <c r="K179" s="43">
        <f t="shared" si="214"/>
        <v>13.405107133499989</v>
      </c>
      <c r="L179" s="43">
        <f t="shared" si="214"/>
        <v>13.405107133499989</v>
      </c>
      <c r="M179" s="43">
        <f t="shared" si="214"/>
        <v>13.405107133499989</v>
      </c>
      <c r="N179" s="43">
        <f t="shared" si="214"/>
        <v>13.405107133499989</v>
      </c>
      <c r="O179" s="43">
        <f t="shared" si="214"/>
        <v>13.405107133499989</v>
      </c>
      <c r="P179" s="43">
        <f t="shared" si="214"/>
        <v>12.077456875660353</v>
      </c>
      <c r="Q179" s="43">
        <f t="shared" si="214"/>
        <v>14.624511428556072</v>
      </c>
      <c r="R179" s="43">
        <f t="shared" si="214"/>
        <v>13.405107133499989</v>
      </c>
      <c r="S179" s="43">
        <f t="shared" si="214"/>
        <v>13.405107133499989</v>
      </c>
      <c r="T179" s="43">
        <f t="shared" si="214"/>
        <v>13.405107133499989</v>
      </c>
      <c r="U179" s="43">
        <f t="shared" si="214"/>
        <v>13.405107133499989</v>
      </c>
      <c r="V179" s="43">
        <f t="shared" si="214"/>
        <v>13.405107133499989</v>
      </c>
      <c r="W179" s="43">
        <f t="shared" si="214"/>
        <v>13.405107133499989</v>
      </c>
    </row>
    <row r="180" spans="1:23" x14ac:dyDescent="0.3">
      <c r="A180" s="9" t="s">
        <v>475</v>
      </c>
      <c r="B180" s="67">
        <f>B178*(1-B36)-B179</f>
        <v>115.90840744160386</v>
      </c>
      <c r="C180" s="67">
        <f>C178*(1-C36)-C179</f>
        <v>178.00322272083503</v>
      </c>
      <c r="D180" s="67">
        <f>D178*(1-D36)-D179</f>
        <v>249.49611064472424</v>
      </c>
      <c r="H180" s="67">
        <f t="shared" ref="H180:V180" si="215">H178*(1-H36)-H179</f>
        <v>178.00322272083503</v>
      </c>
      <c r="I180" s="67">
        <f t="shared" si="215"/>
        <v>178.00322272083503</v>
      </c>
      <c r="J180" s="67">
        <f t="shared" si="215"/>
        <v>178.00322272083503</v>
      </c>
      <c r="K180" s="67">
        <f t="shared" si="215"/>
        <v>178.00322272083503</v>
      </c>
      <c r="L180" s="67">
        <f t="shared" si="215"/>
        <v>178.00322272083503</v>
      </c>
      <c r="M180" s="67">
        <f t="shared" si="215"/>
        <v>178.00322272083503</v>
      </c>
      <c r="N180" s="67">
        <f t="shared" si="215"/>
        <v>178.00322272083503</v>
      </c>
      <c r="O180" s="67">
        <f t="shared" si="215"/>
        <v>178.00322272083503</v>
      </c>
      <c r="P180" s="67">
        <f t="shared" si="215"/>
        <v>159.10798230774338</v>
      </c>
      <c r="Q180" s="67">
        <f t="shared" si="215"/>
        <v>195.35789664929428</v>
      </c>
      <c r="R180" s="67">
        <f t="shared" si="215"/>
        <v>169.72654325804541</v>
      </c>
      <c r="S180" s="67">
        <f t="shared" si="215"/>
        <v>178.00322272083503</v>
      </c>
      <c r="T180" s="67">
        <f t="shared" si="215"/>
        <v>178.00322272083503</v>
      </c>
      <c r="U180" s="67">
        <f t="shared" si="215"/>
        <v>192.33043679970123</v>
      </c>
      <c r="V180" s="67">
        <f t="shared" si="215"/>
        <v>178.00322272083503</v>
      </c>
      <c r="W180" s="67">
        <f t="shared" ref="W180" si="216">W178*(1-W36)-W179</f>
        <v>183.08161884331224</v>
      </c>
    </row>
    <row r="181" spans="1:23" x14ac:dyDescent="0.3">
      <c r="A181" s="14" t="s">
        <v>804</v>
      </c>
      <c r="B181" s="43">
        <f>B180/(1+B44)^4.5</f>
        <v>71.816071549164818</v>
      </c>
      <c r="C181" s="43">
        <f>C180/(1+C44)^4.5</f>
        <v>110.28960246340971</v>
      </c>
      <c r="D181" s="43">
        <f>D180/(1+D44)^4.5</f>
        <v>154.5861161307655</v>
      </c>
      <c r="H181" s="43">
        <f t="shared" ref="H181:W181" si="217">H180/(1+H44)^4.5</f>
        <v>110.28960246340971</v>
      </c>
      <c r="I181" s="43">
        <f t="shared" si="217"/>
        <v>110.28960246340971</v>
      </c>
      <c r="J181" s="43">
        <f t="shared" si="217"/>
        <v>110.28960246340971</v>
      </c>
      <c r="K181" s="43">
        <f t="shared" si="217"/>
        <v>110.28960246340971</v>
      </c>
      <c r="L181" s="43">
        <f t="shared" si="217"/>
        <v>110.28960246340971</v>
      </c>
      <c r="M181" s="43">
        <f t="shared" si="217"/>
        <v>107.75557513132631</v>
      </c>
      <c r="N181" s="43">
        <f t="shared" si="217"/>
        <v>105.10702672504809</v>
      </c>
      <c r="O181" s="43">
        <f t="shared" si="217"/>
        <v>110.28960246340971</v>
      </c>
      <c r="P181" s="43">
        <f t="shared" si="217"/>
        <v>98.582238283387426</v>
      </c>
      <c r="Q181" s="43">
        <f t="shared" si="217"/>
        <v>121.04244198617322</v>
      </c>
      <c r="R181" s="43">
        <f t="shared" si="217"/>
        <v>105.16142740165961</v>
      </c>
      <c r="S181" s="43">
        <f t="shared" si="217"/>
        <v>110.28960246340971</v>
      </c>
      <c r="T181" s="43">
        <f t="shared" si="217"/>
        <v>110.28960246340971</v>
      </c>
      <c r="U181" s="43">
        <f t="shared" si="217"/>
        <v>119.16664817647795</v>
      </c>
      <c r="V181" s="43">
        <f t="shared" si="217"/>
        <v>113.20959324442028</v>
      </c>
      <c r="W181" s="43">
        <f t="shared" si="217"/>
        <v>113.43614262677595</v>
      </c>
    </row>
    <row r="182" spans="1:23" x14ac:dyDescent="0.3">
      <c r="A182" s="14" t="s">
        <v>476</v>
      </c>
      <c r="B182" s="43">
        <f>0</f>
        <v>0</v>
      </c>
      <c r="C182" s="43">
        <f>0</f>
        <v>0</v>
      </c>
      <c r="D182" s="43">
        <f>0</f>
        <v>0</v>
      </c>
      <c r="H182" s="43">
        <f>0</f>
        <v>0</v>
      </c>
      <c r="I182" s="43">
        <f>0</f>
        <v>0</v>
      </c>
      <c r="J182" s="43">
        <f>0</f>
        <v>0</v>
      </c>
      <c r="K182" s="43">
        <f>0</f>
        <v>0</v>
      </c>
      <c r="L182" s="43">
        <f>0</f>
        <v>0</v>
      </c>
      <c r="M182" s="43">
        <f>0</f>
        <v>0</v>
      </c>
      <c r="N182" s="43">
        <f>0</f>
        <v>0</v>
      </c>
      <c r="O182" s="43">
        <f>0</f>
        <v>0</v>
      </c>
      <c r="P182" s="43">
        <f>0</f>
        <v>0</v>
      </c>
      <c r="Q182" s="43">
        <f>0</f>
        <v>0</v>
      </c>
      <c r="R182" s="43">
        <f>0</f>
        <v>0</v>
      </c>
      <c r="S182" s="43">
        <f>0</f>
        <v>0</v>
      </c>
      <c r="T182" s="43">
        <f>0</f>
        <v>0</v>
      </c>
      <c r="U182" s="43">
        <f>0</f>
        <v>0</v>
      </c>
      <c r="V182" s="43">
        <f>0</f>
        <v>0</v>
      </c>
      <c r="W182" s="43">
        <f>0</f>
        <v>0</v>
      </c>
    </row>
    <row r="183" spans="1:23" x14ac:dyDescent="0.3">
      <c r="A183" s="14" t="s">
        <v>477</v>
      </c>
      <c r="B183" s="43">
        <f>B74*(IF(B29-2031=1,0.5,0)+IF(B29-2031=2,0.5,0)+IF(AND(B29=2028,2031=2027),0.5,0))</f>
        <v>409.4615</v>
      </c>
      <c r="C183" s="43">
        <f>C74*(IF(C29-2031=1,0.5,0)+IF(C29-2031=2,0.5,0)+IF(AND(C29=2028,2031=2027),0.5,0))</f>
        <v>0</v>
      </c>
      <c r="D183" s="43">
        <f>D74*(IF(D29-2031=1,0.5,0)+IF(D29-2031=2,0.5,0)+IF(AND(D29=2028,2031=2027),0.5,0))</f>
        <v>0</v>
      </c>
      <c r="H183" s="43">
        <f t="shared" ref="H183:V183" si="218">H74*(IF(H29-2031=1,0.5,0)+IF(H29-2031=2,0.5,0)+IF(AND(H29=2028,2031=2027),0.5,0))</f>
        <v>0</v>
      </c>
      <c r="I183" s="43">
        <f t="shared" si="218"/>
        <v>0</v>
      </c>
      <c r="J183" s="43">
        <f t="shared" si="218"/>
        <v>0</v>
      </c>
      <c r="K183" s="43">
        <f t="shared" si="218"/>
        <v>0</v>
      </c>
      <c r="L183" s="43">
        <f t="shared" si="218"/>
        <v>0</v>
      </c>
      <c r="M183" s="43">
        <f t="shared" si="218"/>
        <v>0</v>
      </c>
      <c r="N183" s="43">
        <f t="shared" si="218"/>
        <v>0</v>
      </c>
      <c r="O183" s="43">
        <f t="shared" si="218"/>
        <v>0</v>
      </c>
      <c r="P183" s="43">
        <f t="shared" si="218"/>
        <v>0</v>
      </c>
      <c r="Q183" s="43">
        <f t="shared" si="218"/>
        <v>0</v>
      </c>
      <c r="R183" s="43">
        <f t="shared" si="218"/>
        <v>0</v>
      </c>
      <c r="S183" s="43">
        <f t="shared" si="218"/>
        <v>0</v>
      </c>
      <c r="T183" s="43">
        <f t="shared" si="218"/>
        <v>0</v>
      </c>
      <c r="U183" s="43">
        <f t="shared" si="218"/>
        <v>0</v>
      </c>
      <c r="V183" s="43">
        <f t="shared" si="218"/>
        <v>0</v>
      </c>
      <c r="W183" s="43">
        <f t="shared" ref="W183" si="219">W74*(IF(W29-2031=1,0.5,0)+IF(W29-2031=2,0.5,0)+IF(AND(W29=2028,2031=2027),0.5,0))</f>
        <v>0</v>
      </c>
    </row>
    <row r="184" spans="1:23" x14ac:dyDescent="0.3">
      <c r="A184" s="14" t="s">
        <v>478</v>
      </c>
      <c r="B184" s="43">
        <f>B182+B183</f>
        <v>409.4615</v>
      </c>
      <c r="C184" s="43">
        <f>C182+C183</f>
        <v>0</v>
      </c>
      <c r="D184" s="43">
        <f>D182+D183</f>
        <v>0</v>
      </c>
      <c r="H184" s="43">
        <f t="shared" ref="H184:V184" si="220">H182+H183</f>
        <v>0</v>
      </c>
      <c r="I184" s="43">
        <f t="shared" si="220"/>
        <v>0</v>
      </c>
      <c r="J184" s="43">
        <f t="shared" si="220"/>
        <v>0</v>
      </c>
      <c r="K184" s="43">
        <f t="shared" si="220"/>
        <v>0</v>
      </c>
      <c r="L184" s="43">
        <f t="shared" si="220"/>
        <v>0</v>
      </c>
      <c r="M184" s="43">
        <f t="shared" si="220"/>
        <v>0</v>
      </c>
      <c r="N184" s="43">
        <f t="shared" si="220"/>
        <v>0</v>
      </c>
      <c r="O184" s="43">
        <f t="shared" si="220"/>
        <v>0</v>
      </c>
      <c r="P184" s="43">
        <f t="shared" si="220"/>
        <v>0</v>
      </c>
      <c r="Q184" s="43">
        <f t="shared" si="220"/>
        <v>0</v>
      </c>
      <c r="R184" s="43">
        <f t="shared" si="220"/>
        <v>0</v>
      </c>
      <c r="S184" s="43">
        <f t="shared" si="220"/>
        <v>0</v>
      </c>
      <c r="T184" s="43">
        <f t="shared" si="220"/>
        <v>0</v>
      </c>
      <c r="U184" s="43">
        <f t="shared" si="220"/>
        <v>0</v>
      </c>
      <c r="V184" s="43">
        <f t="shared" si="220"/>
        <v>0</v>
      </c>
      <c r="W184" s="43">
        <f t="shared" ref="W184" si="221">W182+W183</f>
        <v>0</v>
      </c>
    </row>
    <row r="185" spans="1:23" x14ac:dyDescent="0.3">
      <c r="A185" s="14" t="s">
        <v>479</v>
      </c>
      <c r="B185" s="43">
        <f>B70*1+B73</f>
        <v>13.699999999999989</v>
      </c>
      <c r="C185" s="43">
        <f>C70*1+C73</f>
        <v>63.3</v>
      </c>
      <c r="D185" s="43">
        <f>D70*1+D73</f>
        <v>96.3</v>
      </c>
      <c r="H185" s="43">
        <f t="shared" ref="H185:V185" si="222">H70*1+H73</f>
        <v>63.3</v>
      </c>
      <c r="I185" s="43">
        <f t="shared" si="222"/>
        <v>63.3</v>
      </c>
      <c r="J185" s="43">
        <f t="shared" si="222"/>
        <v>63.3</v>
      </c>
      <c r="K185" s="43">
        <f t="shared" si="222"/>
        <v>31.799999999999997</v>
      </c>
      <c r="L185" s="43">
        <f t="shared" si="222"/>
        <v>43.3</v>
      </c>
      <c r="M185" s="43">
        <f t="shared" si="222"/>
        <v>63.3</v>
      </c>
      <c r="N185" s="43">
        <f t="shared" si="222"/>
        <v>63.3</v>
      </c>
      <c r="O185" s="43">
        <f t="shared" si="222"/>
        <v>63.3</v>
      </c>
      <c r="P185" s="43">
        <f t="shared" si="222"/>
        <v>63.3</v>
      </c>
      <c r="Q185" s="43">
        <f t="shared" si="222"/>
        <v>63.3</v>
      </c>
      <c r="R185" s="43">
        <f t="shared" si="222"/>
        <v>63.3</v>
      </c>
      <c r="S185" s="43">
        <f t="shared" si="222"/>
        <v>63.3</v>
      </c>
      <c r="T185" s="43">
        <f t="shared" si="222"/>
        <v>63.3</v>
      </c>
      <c r="U185" s="43">
        <f t="shared" si="222"/>
        <v>63.3</v>
      </c>
      <c r="V185" s="43">
        <f t="shared" si="222"/>
        <v>63.3</v>
      </c>
      <c r="W185" s="43">
        <f t="shared" ref="W185" si="223">W70*1+W73</f>
        <v>63.3</v>
      </c>
    </row>
    <row r="186" spans="1:23" x14ac:dyDescent="0.3">
      <c r="A186" s="14" t="s">
        <v>480</v>
      </c>
      <c r="B186" s="43">
        <f>B27*B279</f>
        <v>0</v>
      </c>
      <c r="C186" s="43">
        <f>C27*C279</f>
        <v>50.625</v>
      </c>
      <c r="D186" s="43">
        <f>D27*D279</f>
        <v>58</v>
      </c>
      <c r="H186" s="43">
        <f>H27*H279</f>
        <v>50.625</v>
      </c>
      <c r="I186" s="43">
        <f t="shared" ref="I186:W186" si="224">I27*I279</f>
        <v>0</v>
      </c>
      <c r="J186" s="43">
        <f t="shared" si="224"/>
        <v>58.5</v>
      </c>
      <c r="K186" s="43">
        <f t="shared" si="224"/>
        <v>50.625</v>
      </c>
      <c r="L186" s="43">
        <f t="shared" si="224"/>
        <v>50.625</v>
      </c>
      <c r="M186" s="43">
        <f t="shared" si="224"/>
        <v>50.625</v>
      </c>
      <c r="N186" s="43">
        <f t="shared" si="224"/>
        <v>50.625</v>
      </c>
      <c r="O186" s="43">
        <f t="shared" si="224"/>
        <v>50.625</v>
      </c>
      <c r="P186" s="43">
        <f t="shared" si="224"/>
        <v>50.625</v>
      </c>
      <c r="Q186" s="43">
        <f t="shared" si="224"/>
        <v>50.625</v>
      </c>
      <c r="R186" s="43">
        <f t="shared" si="224"/>
        <v>50.625</v>
      </c>
      <c r="S186" s="43">
        <f t="shared" si="224"/>
        <v>50.625</v>
      </c>
      <c r="T186" s="43">
        <f t="shared" si="224"/>
        <v>50.625</v>
      </c>
      <c r="U186" s="43">
        <f t="shared" si="224"/>
        <v>50.625</v>
      </c>
      <c r="V186" s="43">
        <f t="shared" si="224"/>
        <v>50.625</v>
      </c>
      <c r="W186" s="43">
        <f t="shared" si="224"/>
        <v>50.625</v>
      </c>
    </row>
    <row r="187" spans="1:23" x14ac:dyDescent="0.3">
      <c r="A187" s="14" t="s">
        <v>481</v>
      </c>
      <c r="B187" s="43">
        <f>B185+B186</f>
        <v>13.699999999999989</v>
      </c>
      <c r="C187" s="43">
        <f>C185+C186</f>
        <v>113.925</v>
      </c>
      <c r="D187" s="43">
        <f>D185+D186</f>
        <v>154.30000000000001</v>
      </c>
      <c r="H187" s="43">
        <f t="shared" ref="H187:V187" si="225">H185+H186</f>
        <v>113.925</v>
      </c>
      <c r="I187" s="43">
        <f t="shared" si="225"/>
        <v>63.3</v>
      </c>
      <c r="J187" s="43">
        <f t="shared" si="225"/>
        <v>121.8</v>
      </c>
      <c r="K187" s="43">
        <f t="shared" si="225"/>
        <v>82.424999999999997</v>
      </c>
      <c r="L187" s="43">
        <f t="shared" si="225"/>
        <v>93.924999999999997</v>
      </c>
      <c r="M187" s="43">
        <f t="shared" si="225"/>
        <v>113.925</v>
      </c>
      <c r="N187" s="43">
        <f t="shared" si="225"/>
        <v>113.925</v>
      </c>
      <c r="O187" s="43">
        <f t="shared" si="225"/>
        <v>113.925</v>
      </c>
      <c r="P187" s="43">
        <f t="shared" si="225"/>
        <v>113.925</v>
      </c>
      <c r="Q187" s="43">
        <f t="shared" si="225"/>
        <v>113.925</v>
      </c>
      <c r="R187" s="43">
        <f t="shared" si="225"/>
        <v>113.925</v>
      </c>
      <c r="S187" s="43">
        <f t="shared" si="225"/>
        <v>113.925</v>
      </c>
      <c r="T187" s="43">
        <f t="shared" si="225"/>
        <v>113.925</v>
      </c>
      <c r="U187" s="43">
        <f t="shared" si="225"/>
        <v>113.925</v>
      </c>
      <c r="V187" s="43">
        <f t="shared" si="225"/>
        <v>113.925</v>
      </c>
      <c r="W187" s="43">
        <f t="shared" ref="W187" si="226">W185+W186</f>
        <v>113.925</v>
      </c>
    </row>
    <row r="188" spans="1:23" x14ac:dyDescent="0.3">
      <c r="A188" s="14" t="s">
        <v>805</v>
      </c>
      <c r="B188" s="43">
        <f>B71*1+B73-B36*MAX(0,B185)-B182</f>
        <v>40.329999999999991</v>
      </c>
      <c r="C188" s="43">
        <f>C71*1+C73-C36*MAX(0,C185)-C182</f>
        <v>81.17</v>
      </c>
      <c r="D188" s="43">
        <f>D71*1+D73-D36*MAX(0,D185)-D182</f>
        <v>110.87</v>
      </c>
      <c r="H188" s="43">
        <f t="shared" ref="H188:W188" si="227">H71*1+H73-H36*MAX(0,H185)-H182</f>
        <v>81.17</v>
      </c>
      <c r="I188" s="43">
        <f t="shared" si="227"/>
        <v>81.17</v>
      </c>
      <c r="J188" s="43">
        <f t="shared" si="227"/>
        <v>81.17</v>
      </c>
      <c r="K188" s="43">
        <f t="shared" si="227"/>
        <v>52.82</v>
      </c>
      <c r="L188" s="43">
        <f t="shared" si="227"/>
        <v>63.17</v>
      </c>
      <c r="M188" s="43">
        <f t="shared" si="227"/>
        <v>81.17</v>
      </c>
      <c r="N188" s="43">
        <f t="shared" si="227"/>
        <v>81.17</v>
      </c>
      <c r="O188" s="43">
        <f t="shared" si="227"/>
        <v>81.17</v>
      </c>
      <c r="P188" s="43">
        <f t="shared" si="227"/>
        <v>81.17</v>
      </c>
      <c r="Q188" s="43">
        <f t="shared" si="227"/>
        <v>81.17</v>
      </c>
      <c r="R188" s="43">
        <f t="shared" si="227"/>
        <v>81.17</v>
      </c>
      <c r="S188" s="43">
        <f t="shared" si="227"/>
        <v>81.17</v>
      </c>
      <c r="T188" s="43">
        <f t="shared" si="227"/>
        <v>81.17</v>
      </c>
      <c r="U188" s="43">
        <f t="shared" si="227"/>
        <v>81.17</v>
      </c>
      <c r="V188" s="43">
        <f t="shared" si="227"/>
        <v>81.17</v>
      </c>
      <c r="W188" s="43">
        <f t="shared" si="227"/>
        <v>81.17</v>
      </c>
    </row>
    <row r="189" spans="1:23" x14ac:dyDescent="0.3">
      <c r="A189" s="14" t="s">
        <v>482</v>
      </c>
      <c r="B189" s="43">
        <f>B186*(1-B36)-B183</f>
        <v>-409.4615</v>
      </c>
      <c r="C189" s="43">
        <f>C186*(1-C36)-C183</f>
        <v>45.5625</v>
      </c>
      <c r="D189" s="43">
        <f>D186*(1-D36)-D183</f>
        <v>52.2</v>
      </c>
      <c r="H189" s="43">
        <f t="shared" ref="H189:V189" si="228">H186*(1-H36)-H183</f>
        <v>45.5625</v>
      </c>
      <c r="I189" s="43">
        <f t="shared" si="228"/>
        <v>0</v>
      </c>
      <c r="J189" s="43">
        <f t="shared" si="228"/>
        <v>52.65</v>
      </c>
      <c r="K189" s="43">
        <f t="shared" si="228"/>
        <v>45.5625</v>
      </c>
      <c r="L189" s="43">
        <f t="shared" si="228"/>
        <v>45.5625</v>
      </c>
      <c r="M189" s="43">
        <f t="shared" si="228"/>
        <v>45.5625</v>
      </c>
      <c r="N189" s="43">
        <f t="shared" si="228"/>
        <v>45.5625</v>
      </c>
      <c r="O189" s="43">
        <f t="shared" si="228"/>
        <v>45.5625</v>
      </c>
      <c r="P189" s="43">
        <f t="shared" si="228"/>
        <v>45.5625</v>
      </c>
      <c r="Q189" s="43">
        <f t="shared" si="228"/>
        <v>45.5625</v>
      </c>
      <c r="R189" s="43">
        <f t="shared" si="228"/>
        <v>45.5625</v>
      </c>
      <c r="S189" s="43">
        <f t="shared" si="228"/>
        <v>45.5625</v>
      </c>
      <c r="T189" s="43">
        <f t="shared" si="228"/>
        <v>45.5625</v>
      </c>
      <c r="U189" s="43">
        <f t="shared" si="228"/>
        <v>45.5625</v>
      </c>
      <c r="V189" s="43">
        <f t="shared" si="228"/>
        <v>45.5625</v>
      </c>
      <c r="W189" s="43">
        <f t="shared" ref="W189" si="229">W186*(1-W36)-W183</f>
        <v>45.5625</v>
      </c>
    </row>
    <row r="190" spans="1:23" x14ac:dyDescent="0.3">
      <c r="A190" s="14" t="s">
        <v>483</v>
      </c>
      <c r="B190" s="43">
        <f>B188/(1+B45)^5</f>
        <v>22.460029234983494</v>
      </c>
      <c r="C190" s="43">
        <f>C188/(1+C45)^5</f>
        <v>45.20408065964817</v>
      </c>
      <c r="D190" s="43">
        <f>D188/(1+D45)^5</f>
        <v>61.744196411669243</v>
      </c>
      <c r="H190" s="43">
        <f t="shared" ref="H190:V190" si="230">H188/(1+H45)^5</f>
        <v>45.20408065964817</v>
      </c>
      <c r="I190" s="43">
        <f t="shared" si="230"/>
        <v>45.20408065964817</v>
      </c>
      <c r="J190" s="43">
        <f t="shared" si="230"/>
        <v>45.20408065964817</v>
      </c>
      <c r="K190" s="43">
        <f t="shared" si="230"/>
        <v>29.41578835090078</v>
      </c>
      <c r="L190" s="43">
        <f t="shared" si="230"/>
        <v>35.179768082665703</v>
      </c>
      <c r="M190" s="43">
        <f t="shared" si="230"/>
        <v>43.861403196540323</v>
      </c>
      <c r="N190" s="43">
        <f t="shared" si="230"/>
        <v>45.20408065964817</v>
      </c>
      <c r="O190" s="43">
        <f t="shared" si="230"/>
        <v>45.20408065964817</v>
      </c>
      <c r="P190" s="43">
        <f t="shared" si="230"/>
        <v>45.20408065964817</v>
      </c>
      <c r="Q190" s="43">
        <f t="shared" si="230"/>
        <v>45.20408065964817</v>
      </c>
      <c r="R190" s="43">
        <f t="shared" si="230"/>
        <v>45.20408065964817</v>
      </c>
      <c r="S190" s="43">
        <f t="shared" si="230"/>
        <v>45.20408065964817</v>
      </c>
      <c r="T190" s="43">
        <f t="shared" si="230"/>
        <v>45.20408065964817</v>
      </c>
      <c r="U190" s="43">
        <f t="shared" si="230"/>
        <v>45.20408065964817</v>
      </c>
      <c r="V190" s="43">
        <f t="shared" si="230"/>
        <v>45.20408065964817</v>
      </c>
      <c r="W190" s="43">
        <f t="shared" ref="W190" si="231">W188/(1+W45)^5</f>
        <v>45.20408065964817</v>
      </c>
    </row>
    <row r="191" spans="1:23" x14ac:dyDescent="0.3">
      <c r="A191" s="14" t="s">
        <v>484</v>
      </c>
      <c r="B191" s="43">
        <f>B189/(1+B45)^5</f>
        <v>-228.03167023556153</v>
      </c>
      <c r="C191" s="43">
        <f>C189/(1+C45)^5</f>
        <v>25.374041210486876</v>
      </c>
      <c r="D191" s="43">
        <f>D189/(1+D45)^5</f>
        <v>29.070506473249164</v>
      </c>
      <c r="H191" s="43">
        <f t="shared" ref="H191:V191" si="232">H189/(1+H45)^5</f>
        <v>25.374041210486876</v>
      </c>
      <c r="I191" s="43">
        <f t="shared" si="232"/>
        <v>0</v>
      </c>
      <c r="J191" s="43">
        <f t="shared" si="232"/>
        <v>29.321114287673723</v>
      </c>
      <c r="K191" s="43">
        <f t="shared" si="232"/>
        <v>25.374041210486876</v>
      </c>
      <c r="L191" s="43">
        <f t="shared" si="232"/>
        <v>25.374041210486876</v>
      </c>
      <c r="M191" s="43">
        <f t="shared" si="232"/>
        <v>24.620366923030289</v>
      </c>
      <c r="N191" s="43">
        <f t="shared" si="232"/>
        <v>25.374041210486876</v>
      </c>
      <c r="O191" s="43">
        <f t="shared" si="232"/>
        <v>25.374041210486876</v>
      </c>
      <c r="P191" s="43">
        <f t="shared" si="232"/>
        <v>25.374041210486876</v>
      </c>
      <c r="Q191" s="43">
        <f t="shared" si="232"/>
        <v>25.374041210486876</v>
      </c>
      <c r="R191" s="43">
        <f t="shared" si="232"/>
        <v>25.374041210486876</v>
      </c>
      <c r="S191" s="43">
        <f t="shared" si="232"/>
        <v>25.374041210486876</v>
      </c>
      <c r="T191" s="43">
        <f t="shared" si="232"/>
        <v>25.374041210486876</v>
      </c>
      <c r="U191" s="43">
        <f t="shared" si="232"/>
        <v>25.374041210486876</v>
      </c>
      <c r="V191" s="43">
        <f t="shared" si="232"/>
        <v>25.374041210486876</v>
      </c>
      <c r="W191" s="43">
        <f t="shared" ref="W191" si="233">W189/(1+W45)^5</f>
        <v>25.374041210486876</v>
      </c>
    </row>
    <row r="192" spans="1:23" x14ac:dyDescent="0.3">
      <c r="A192" s="14" t="s">
        <v>485</v>
      </c>
      <c r="B192" s="43">
        <f>IF(B172&gt;0,B16,B38)*B172</f>
        <v>35.844732801059678</v>
      </c>
      <c r="C192" s="43">
        <f>IF(C172&gt;0,C16,C38)*C172</f>
        <v>32.971103647428876</v>
      </c>
      <c r="D192" s="43">
        <f>IF(D172&gt;0,D16,D38)*D172</f>
        <v>44.578154035613856</v>
      </c>
      <c r="H192" s="43">
        <f t="shared" ref="H192:V192" si="234">IF(H172&gt;0,H16,H38)*H172</f>
        <v>32.971103647428876</v>
      </c>
      <c r="I192" s="43">
        <f t="shared" si="234"/>
        <v>83.801504104897703</v>
      </c>
      <c r="J192" s="43">
        <f t="shared" si="234"/>
        <v>35.851399148384822</v>
      </c>
      <c r="K192" s="43">
        <f t="shared" si="234"/>
        <v>25.56253964675135</v>
      </c>
      <c r="L192" s="43">
        <f t="shared" si="234"/>
        <v>28.267253488268548</v>
      </c>
      <c r="M192" s="43">
        <f t="shared" si="234"/>
        <v>32.971103647428876</v>
      </c>
      <c r="N192" s="43">
        <f t="shared" si="234"/>
        <v>32.971103647428876</v>
      </c>
      <c r="O192" s="43">
        <f t="shared" si="234"/>
        <v>49.574955004075285</v>
      </c>
      <c r="P192" s="43">
        <f t="shared" si="234"/>
        <v>28.572184445996982</v>
      </c>
      <c r="Q192" s="43">
        <f t="shared" si="234"/>
        <v>37.011370228297302</v>
      </c>
      <c r="R192" s="43">
        <f t="shared" si="234"/>
        <v>30.653401761321316</v>
      </c>
      <c r="S192" s="43">
        <f t="shared" si="234"/>
        <v>32.971103647428876</v>
      </c>
      <c r="T192" s="43">
        <f t="shared" si="234"/>
        <v>32.971103647428876</v>
      </c>
      <c r="U192" s="43">
        <f t="shared" si="234"/>
        <v>36.983124560228944</v>
      </c>
      <c r="V192" s="43">
        <f t="shared" si="234"/>
        <v>32.971103647428876</v>
      </c>
      <c r="W192" s="43">
        <f t="shared" ref="W192" si="235">IF(W172&gt;0,W16,W38)*W172</f>
        <v>33.820284047577012</v>
      </c>
    </row>
    <row r="193" spans="1:23" x14ac:dyDescent="0.3">
      <c r="A193" s="14" t="s">
        <v>486</v>
      </c>
      <c r="B193" s="43">
        <f>B178+B187+B192*(1-B37)</f>
        <v>171.16290562040757</v>
      </c>
      <c r="C193" s="43">
        <f>C178+C187+C192*(1-C37)</f>
        <v>352.97780497831531</v>
      </c>
      <c r="D193" s="43">
        <f>D178+D187+D192*(1-D37)</f>
        <v>495.69210102818465</v>
      </c>
      <c r="H193" s="43">
        <f t="shared" ref="H193:V193" si="236">H178+H187+H192*(1-H37)</f>
        <v>352.97780497831531</v>
      </c>
      <c r="I193" s="43">
        <f t="shared" si="236"/>
        <v>343.01712534429038</v>
      </c>
      <c r="J193" s="43">
        <f t="shared" si="236"/>
        <v>363.15704137908006</v>
      </c>
      <c r="K193" s="43">
        <f t="shared" si="236"/>
        <v>315.55095377777332</v>
      </c>
      <c r="L193" s="43">
        <f t="shared" si="236"/>
        <v>329.21472485098707</v>
      </c>
      <c r="M193" s="43">
        <f t="shared" si="236"/>
        <v>352.97780497831531</v>
      </c>
      <c r="N193" s="43">
        <f t="shared" si="236"/>
        <v>352.97780497831531</v>
      </c>
      <c r="O193" s="43">
        <f t="shared" si="236"/>
        <v>366.26088606363248</v>
      </c>
      <c r="P193" s="43">
        <f t="shared" si="236"/>
        <v>326.98879109391282</v>
      </c>
      <c r="Q193" s="43">
        <f t="shared" si="236"/>
        <v>376.84788293580493</v>
      </c>
      <c r="R193" s="43">
        <f t="shared" si="236"/>
        <v>341.92733295521862</v>
      </c>
      <c r="S193" s="43">
        <f t="shared" si="236"/>
        <v>352.97780497831531</v>
      </c>
      <c r="T193" s="43">
        <f t="shared" si="236"/>
        <v>352.97780497831531</v>
      </c>
      <c r="U193" s="43">
        <f t="shared" si="236"/>
        <v>372.10654846285121</v>
      </c>
      <c r="V193" s="43">
        <f t="shared" si="236"/>
        <v>352.97780497831531</v>
      </c>
      <c r="W193" s="43">
        <f t="shared" ref="W193" si="237">W178+W187+W192*(1-W37)</f>
        <v>359.29981165674189</v>
      </c>
    </row>
    <row r="194" spans="1:23" x14ac:dyDescent="0.3">
      <c r="A194" s="14" t="s">
        <v>487</v>
      </c>
      <c r="B194" s="27">
        <f>B15*'01_Số liệu gốc'!$B$8/1000</f>
        <v>110</v>
      </c>
      <c r="C194" s="27">
        <f>C15*'01_Số liệu gốc'!$B$8/1000</f>
        <v>165</v>
      </c>
      <c r="D194" s="27">
        <f>D15*'01_Số liệu gốc'!$B$8/1000</f>
        <v>220</v>
      </c>
      <c r="H194" s="27">
        <f>H15*'01_Số liệu gốc'!$B$8/1000</f>
        <v>165</v>
      </c>
      <c r="I194" s="27">
        <f>I15*'01_Số liệu gốc'!$B$8/1000</f>
        <v>165</v>
      </c>
      <c r="J194" s="27">
        <f>J15*'01_Số liệu gốc'!$B$8/1000</f>
        <v>165</v>
      </c>
      <c r="K194" s="27">
        <f>K15*'01_Số liệu gốc'!$B$8/1000</f>
        <v>165</v>
      </c>
      <c r="L194" s="27">
        <f>L15*'01_Số liệu gốc'!$B$8/1000</f>
        <v>165</v>
      </c>
      <c r="M194" s="27">
        <f>M15*'01_Số liệu gốc'!$B$8/1000</f>
        <v>165</v>
      </c>
      <c r="N194" s="27">
        <f>N15*'01_Số liệu gốc'!$B$8/1000</f>
        <v>165</v>
      </c>
      <c r="O194" s="27">
        <f>O15*'01_Số liệu gốc'!$B$8/1000</f>
        <v>110</v>
      </c>
      <c r="P194" s="27">
        <f>P15*'01_Số liệu gốc'!$B$8/1000</f>
        <v>165</v>
      </c>
      <c r="Q194" s="27">
        <f>Q15*'01_Số liệu gốc'!$B$8/1000</f>
        <v>165</v>
      </c>
      <c r="R194" s="27">
        <f>R15*'01_Số liệu gốc'!$B$8/1000</f>
        <v>165</v>
      </c>
      <c r="S194" s="27">
        <f>S15*'01_Số liệu gốc'!$B$8/1000</f>
        <v>165</v>
      </c>
      <c r="T194" s="27">
        <f>T15*'01_Số liệu gốc'!$B$8/1000</f>
        <v>165</v>
      </c>
      <c r="U194" s="27">
        <f>U15*'01_Số liệu gốc'!$B$8/1000</f>
        <v>165</v>
      </c>
      <c r="V194" s="27">
        <f>V15*'01_Số liệu gốc'!$B$8/1000</f>
        <v>165</v>
      </c>
      <c r="W194" s="27">
        <f>W15*'01_Số liệu gốc'!$B$8/1000</f>
        <v>165</v>
      </c>
    </row>
    <row r="195" spans="1:23" x14ac:dyDescent="0.3">
      <c r="A195" s="14" t="s">
        <v>488</v>
      </c>
      <c r="B195" s="43">
        <f>(B69-B24)*1</f>
        <v>28</v>
      </c>
      <c r="C195" s="43">
        <f>(C69-C24)*1</f>
        <v>24.200000000000003</v>
      </c>
      <c r="D195" s="43">
        <f>(D69-D24)*1</f>
        <v>24.200000000000003</v>
      </c>
      <c r="H195" s="43">
        <f t="shared" ref="H195:V195" si="238">(H69-H24)*1</f>
        <v>24.200000000000003</v>
      </c>
      <c r="I195" s="43">
        <f t="shared" si="238"/>
        <v>24.200000000000003</v>
      </c>
      <c r="J195" s="43">
        <f t="shared" si="238"/>
        <v>24.200000000000003</v>
      </c>
      <c r="K195" s="43">
        <f t="shared" si="238"/>
        <v>24.200000000000003</v>
      </c>
      <c r="L195" s="43">
        <f t="shared" si="238"/>
        <v>24.200000000000003</v>
      </c>
      <c r="M195" s="43">
        <f t="shared" si="238"/>
        <v>24.200000000000003</v>
      </c>
      <c r="N195" s="43">
        <f t="shared" si="238"/>
        <v>24.200000000000003</v>
      </c>
      <c r="O195" s="43">
        <f t="shared" si="238"/>
        <v>24.200000000000003</v>
      </c>
      <c r="P195" s="43">
        <f t="shared" si="238"/>
        <v>24.200000000000003</v>
      </c>
      <c r="Q195" s="43">
        <f t="shared" si="238"/>
        <v>24.200000000000003</v>
      </c>
      <c r="R195" s="43">
        <f t="shared" si="238"/>
        <v>24.200000000000003</v>
      </c>
      <c r="S195" s="43">
        <f t="shared" si="238"/>
        <v>24.200000000000003</v>
      </c>
      <c r="T195" s="43">
        <f t="shared" si="238"/>
        <v>24.200000000000003</v>
      </c>
      <c r="U195" s="43">
        <f t="shared" si="238"/>
        <v>24.200000000000003</v>
      </c>
      <c r="V195" s="43">
        <f t="shared" si="238"/>
        <v>24.200000000000003</v>
      </c>
      <c r="W195" s="43">
        <f t="shared" ref="W195" si="239">(W69-W24)*1</f>
        <v>24.200000000000003</v>
      </c>
    </row>
    <row r="196" spans="1:23" x14ac:dyDescent="0.3">
      <c r="A196" s="9" t="s">
        <v>489</v>
      </c>
      <c r="B196" s="67">
        <f>B172+B193*(1-B36)-B194-B184-B179+B195</f>
        <v>214.04254276697725</v>
      </c>
      <c r="C196" s="67">
        <f>C172+C193*(1-C36)-C194-C184-C179+C195</f>
        <v>634.49068373882483</v>
      </c>
      <c r="D196" s="67">
        <f>D172+D193*(1-D36)-D194-D184-D179+D195</f>
        <v>819.03776869188437</v>
      </c>
      <c r="H196" s="67">
        <f t="shared" ref="H196:V196" si="240">H172+H193*(1-H36)-H194-H184-H179+H195</f>
        <v>634.49068373882483</v>
      </c>
      <c r="I196" s="67">
        <f t="shared" si="240"/>
        <v>1351.6746500320428</v>
      </c>
      <c r="J196" s="67">
        <f t="shared" si="240"/>
        <v>684.79907508459814</v>
      </c>
      <c r="K196" s="67">
        <f t="shared" si="240"/>
        <v>494.96988907722954</v>
      </c>
      <c r="L196" s="67">
        <f t="shared" si="240"/>
        <v>545.90605220765337</v>
      </c>
      <c r="M196" s="67">
        <f t="shared" si="240"/>
        <v>634.49068373882483</v>
      </c>
      <c r="N196" s="67">
        <f t="shared" si="240"/>
        <v>634.49068373882483</v>
      </c>
      <c r="O196" s="67">
        <f t="shared" si="240"/>
        <v>938.64333323913047</v>
      </c>
      <c r="P196" s="67">
        <f t="shared" si="240"/>
        <v>549.58651862310376</v>
      </c>
      <c r="Q196" s="67">
        <f t="shared" si="240"/>
        <v>712.47244361791559</v>
      </c>
      <c r="R196" s="67">
        <f t="shared" si="240"/>
        <v>591.43523197364414</v>
      </c>
      <c r="S196" s="67">
        <f t="shared" si="240"/>
        <v>634.49068373882483</v>
      </c>
      <c r="T196" s="67">
        <f t="shared" si="240"/>
        <v>634.49068373882483</v>
      </c>
      <c r="U196" s="67">
        <f t="shared" si="240"/>
        <v>709.0211373434795</v>
      </c>
      <c r="V196" s="67">
        <f t="shared" si="240"/>
        <v>634.49068373882483</v>
      </c>
      <c r="W196" s="67">
        <f t="shared" ref="W196" si="241">W172+W193*(1-W36)-W194-W184-W179+W195</f>
        <v>652.31163832295351</v>
      </c>
    </row>
    <row r="197" spans="1:23" x14ac:dyDescent="0.3">
      <c r="A197" s="14" t="s">
        <v>490</v>
      </c>
      <c r="B197" s="43">
        <f>B173+B193*(1-B36)-B194</f>
        <v>2615.7965427669778</v>
      </c>
      <c r="C197" s="43">
        <f>C173+C193*(1-C36)-C194</f>
        <v>2931.7859753223247</v>
      </c>
      <c r="D197" s="43">
        <f>D173+D193*(1-D36)-D194</f>
        <v>3174.2617455668847</v>
      </c>
      <c r="H197" s="43">
        <f t="shared" ref="H197:V197" si="242">H173+H193*(1-H36)-H194</f>
        <v>2931.7859753223247</v>
      </c>
      <c r="I197" s="43">
        <f t="shared" si="242"/>
        <v>2937.046941615542</v>
      </c>
      <c r="J197" s="43">
        <f t="shared" si="242"/>
        <v>2982.0943666680978</v>
      </c>
      <c r="K197" s="43">
        <f t="shared" si="242"/>
        <v>2792.2651806607291</v>
      </c>
      <c r="L197" s="43">
        <f t="shared" si="242"/>
        <v>2843.2013437911532</v>
      </c>
      <c r="M197" s="43">
        <f t="shared" si="242"/>
        <v>2931.7859753223247</v>
      </c>
      <c r="N197" s="43">
        <f t="shared" si="242"/>
        <v>2931.7859753223247</v>
      </c>
      <c r="O197" s="43">
        <f t="shared" si="242"/>
        <v>3235.9386248226297</v>
      </c>
      <c r="P197" s="43">
        <f t="shared" si="242"/>
        <v>2829.6205513541099</v>
      </c>
      <c r="Q197" s="43">
        <f t="shared" si="242"/>
        <v>3025.6216493316733</v>
      </c>
      <c r="R197" s="43">
        <f t="shared" si="242"/>
        <v>2888.7305235571439</v>
      </c>
      <c r="S197" s="43">
        <f t="shared" si="242"/>
        <v>2931.7859753223247</v>
      </c>
      <c r="T197" s="43">
        <f t="shared" si="242"/>
        <v>2931.7859753223247</v>
      </c>
      <c r="U197" s="43">
        <f t="shared" si="242"/>
        <v>3006.3164289269794</v>
      </c>
      <c r="V197" s="43">
        <f t="shared" si="242"/>
        <v>2931.7859753223247</v>
      </c>
      <c r="W197" s="43">
        <f t="shared" ref="W197" si="243">W173+W193*(1-W36)-W194</f>
        <v>2949.6069299064534</v>
      </c>
    </row>
    <row r="198" spans="1:23" x14ac:dyDescent="0.3">
      <c r="A198" s="14" t="s">
        <v>491</v>
      </c>
      <c r="B198" s="43">
        <f>B194/(1+B44)^5</f>
        <v>64.624937544366674</v>
      </c>
      <c r="C198" s="43">
        <f>C194/(1+C44)^5</f>
        <v>96.93740631655001</v>
      </c>
      <c r="D198" s="43">
        <f>D194/(1+D44)^5</f>
        <v>129.24987508873335</v>
      </c>
      <c r="H198" s="43">
        <f t="shared" ref="H198:V198" si="244">H194/(1+H44)^5</f>
        <v>96.93740631655001</v>
      </c>
      <c r="I198" s="43">
        <f t="shared" si="244"/>
        <v>96.93740631655001</v>
      </c>
      <c r="J198" s="43">
        <f t="shared" si="244"/>
        <v>96.93740631655001</v>
      </c>
      <c r="K198" s="43">
        <f t="shared" si="244"/>
        <v>96.93740631655001</v>
      </c>
      <c r="L198" s="43">
        <f t="shared" si="244"/>
        <v>96.93740631655001</v>
      </c>
      <c r="M198" s="43">
        <f t="shared" si="244"/>
        <v>94.46586952700406</v>
      </c>
      <c r="N198" s="43">
        <f t="shared" si="244"/>
        <v>91.889531955672638</v>
      </c>
      <c r="O198" s="43">
        <f t="shared" si="244"/>
        <v>64.624937544366674</v>
      </c>
      <c r="P198" s="43">
        <f t="shared" si="244"/>
        <v>96.93740631655001</v>
      </c>
      <c r="Q198" s="43">
        <f t="shared" si="244"/>
        <v>96.93740631655001</v>
      </c>
      <c r="R198" s="43">
        <f t="shared" si="244"/>
        <v>96.93740631655001</v>
      </c>
      <c r="S198" s="43">
        <f t="shared" si="244"/>
        <v>96.93740631655001</v>
      </c>
      <c r="T198" s="43">
        <f t="shared" si="244"/>
        <v>96.93740631655001</v>
      </c>
      <c r="U198" s="43">
        <f t="shared" si="244"/>
        <v>96.93740631655001</v>
      </c>
      <c r="V198" s="43">
        <f t="shared" si="244"/>
        <v>99.793215424897554</v>
      </c>
      <c r="W198" s="43">
        <f t="shared" ref="W198" si="245">W194/(1+W44)^5</f>
        <v>96.93740631655001</v>
      </c>
    </row>
    <row r="199" spans="1:23" x14ac:dyDescent="0.3">
      <c r="A199" s="9" t="s">
        <v>492</v>
      </c>
      <c r="B199" s="67">
        <f>MIN(B100,B124,B148,B172,B196)</f>
        <v>214.04254276697725</v>
      </c>
      <c r="C199" s="67">
        <f>MIN(C100,C124,C148,C172,C196)</f>
        <v>323.73985745861143</v>
      </c>
      <c r="D199" s="67">
        <f>MIN(D100,D124,D148,D172,D196)</f>
        <v>402.1420454649043</v>
      </c>
      <c r="F199" s="38" t="s">
        <v>493</v>
      </c>
      <c r="H199" s="67">
        <f t="shared" ref="H199:V199" si="246">MIN(H100,H124,H148,H172,H196)</f>
        <v>323.73985745861143</v>
      </c>
      <c r="I199" s="67">
        <f t="shared" si="246"/>
        <v>796.84886963520205</v>
      </c>
      <c r="J199" s="67">
        <f t="shared" si="246"/>
        <v>84.925869635202133</v>
      </c>
      <c r="K199" s="67">
        <f t="shared" si="246"/>
        <v>249.97117069061113</v>
      </c>
      <c r="L199" s="67">
        <f t="shared" si="246"/>
        <v>276.9025960186114</v>
      </c>
      <c r="M199" s="67">
        <f t="shared" si="246"/>
        <v>323.73985745861143</v>
      </c>
      <c r="N199" s="67">
        <f t="shared" si="246"/>
        <v>323.73985745861143</v>
      </c>
      <c r="O199" s="67">
        <f t="shared" si="246"/>
        <v>497.19556625861145</v>
      </c>
      <c r="P199" s="67">
        <f t="shared" si="246"/>
        <v>281.37808168494888</v>
      </c>
      <c r="Q199" s="67">
        <f t="shared" si="246"/>
        <v>362.64779350546092</v>
      </c>
      <c r="R199" s="67">
        <f t="shared" si="246"/>
        <v>299.86855527328038</v>
      </c>
      <c r="S199" s="67">
        <f t="shared" si="246"/>
        <v>323.73985745861143</v>
      </c>
      <c r="T199" s="67">
        <f t="shared" si="246"/>
        <v>323.73985745861143</v>
      </c>
      <c r="U199" s="67">
        <f t="shared" si="246"/>
        <v>365.06189467029168</v>
      </c>
      <c r="V199" s="67">
        <f t="shared" si="246"/>
        <v>323.73985745861143</v>
      </c>
      <c r="W199" s="67">
        <f t="shared" ref="W199" si="247">MIN(W100,W124,W148,W172,W196)</f>
        <v>331.32173741582966</v>
      </c>
    </row>
    <row r="200" spans="1:23" x14ac:dyDescent="0.3">
      <c r="A200" s="14" t="s">
        <v>494</v>
      </c>
      <c r="B200" s="62" t="str">
        <f>IF(B100&lt;0,2027,IF(B124&lt;0,2028,IF(B148&lt;0,2029,IF(B172&lt;0,2030,IF(B196&lt;0,2031,"không")))))</f>
        <v>không</v>
      </c>
      <c r="C200" s="62" t="str">
        <f>IF(C100&lt;0,2027,IF(C124&lt;0,2028,IF(C148&lt;0,2029,IF(C172&lt;0,2030,IF(C196&lt;0,2031,"không")))))</f>
        <v>không</v>
      </c>
      <c r="D200" s="62" t="str">
        <f>IF(D100&lt;0,2027,IF(D124&lt;0,2028,IF(D148&lt;0,2029,IF(D172&lt;0,2030,IF(D196&lt;0,2031,"không")))))</f>
        <v>không</v>
      </c>
      <c r="H200" s="62" t="str">
        <f t="shared" ref="H200:V200" si="248">IF(H100&lt;0,2027,IF(H124&lt;0,2028,IF(H148&lt;0,2029,IF(H172&lt;0,2030,IF(H196&lt;0,2031,"không")))))</f>
        <v>không</v>
      </c>
      <c r="I200" s="62" t="str">
        <f t="shared" si="248"/>
        <v>không</v>
      </c>
      <c r="J200" s="62" t="str">
        <f t="shared" si="248"/>
        <v>không</v>
      </c>
      <c r="K200" s="62" t="str">
        <f t="shared" si="248"/>
        <v>không</v>
      </c>
      <c r="L200" s="62" t="str">
        <f t="shared" si="248"/>
        <v>không</v>
      </c>
      <c r="M200" s="62" t="str">
        <f t="shared" si="248"/>
        <v>không</v>
      </c>
      <c r="N200" s="62" t="str">
        <f t="shared" si="248"/>
        <v>không</v>
      </c>
      <c r="O200" s="62" t="str">
        <f t="shared" si="248"/>
        <v>không</v>
      </c>
      <c r="P200" s="62" t="str">
        <f t="shared" si="248"/>
        <v>không</v>
      </c>
      <c r="Q200" s="62" t="str">
        <f t="shared" si="248"/>
        <v>không</v>
      </c>
      <c r="R200" s="62" t="str">
        <f t="shared" si="248"/>
        <v>không</v>
      </c>
      <c r="S200" s="62" t="str">
        <f t="shared" si="248"/>
        <v>không</v>
      </c>
      <c r="T200" s="62" t="str">
        <f t="shared" si="248"/>
        <v>không</v>
      </c>
      <c r="U200" s="62" t="str">
        <f t="shared" si="248"/>
        <v>không</v>
      </c>
      <c r="V200" s="62" t="str">
        <f t="shared" si="248"/>
        <v>không</v>
      </c>
      <c r="W200" s="62" t="str">
        <f t="shared" ref="W200" si="249">IF(W100&lt;0,2027,IF(W124&lt;0,2028,IF(W148&lt;0,2029,IF(W172&lt;0,2030,IF(W196&lt;0,2031,"không")))))</f>
        <v>không</v>
      </c>
    </row>
    <row r="202" spans="1:23" x14ac:dyDescent="0.3">
      <c r="A202" s="51" t="s">
        <v>810</v>
      </c>
      <c r="B202" s="52"/>
      <c r="C202" s="52"/>
      <c r="D202" s="52"/>
      <c r="E202" s="52"/>
      <c r="F202" s="52"/>
      <c r="G202" s="52"/>
      <c r="H202" s="52"/>
      <c r="I202" s="52"/>
      <c r="J202" s="52"/>
      <c r="K202" s="52"/>
      <c r="L202" s="52"/>
      <c r="M202" s="52"/>
      <c r="N202" s="52"/>
      <c r="O202" s="52"/>
      <c r="P202" s="52"/>
      <c r="Q202" s="52"/>
      <c r="R202" s="52"/>
      <c r="S202" s="52"/>
      <c r="T202" s="52"/>
      <c r="U202" s="52"/>
      <c r="V202" s="52"/>
      <c r="W202" s="52"/>
    </row>
    <row r="203" spans="1:23" x14ac:dyDescent="0.3">
      <c r="A203" s="14" t="s">
        <v>811</v>
      </c>
      <c r="B203" s="43">
        <f>B71+B73-B36*MAX(0,B70+B73)</f>
        <v>40.329999999999991</v>
      </c>
      <c r="C203" s="43">
        <f>C71+C73-C36*MAX(0,C70+C73)</f>
        <v>81.17</v>
      </c>
      <c r="D203" s="43">
        <f>D71+D73-D36*MAX(0,D70+D73)</f>
        <v>110.87</v>
      </c>
      <c r="H203" s="43">
        <f t="shared" ref="H203:W203" si="250">H71+H73-H36*MAX(0,H70+H73)</f>
        <v>81.17</v>
      </c>
      <c r="I203" s="43">
        <f t="shared" si="250"/>
        <v>81.17</v>
      </c>
      <c r="J203" s="43">
        <f t="shared" si="250"/>
        <v>81.17</v>
      </c>
      <c r="K203" s="43">
        <f t="shared" si="250"/>
        <v>52.82</v>
      </c>
      <c r="L203" s="43">
        <f t="shared" si="250"/>
        <v>63.17</v>
      </c>
      <c r="M203" s="43">
        <f t="shared" si="250"/>
        <v>81.17</v>
      </c>
      <c r="N203" s="43">
        <f t="shared" si="250"/>
        <v>81.17</v>
      </c>
      <c r="O203" s="43">
        <f t="shared" si="250"/>
        <v>81.17</v>
      </c>
      <c r="P203" s="43">
        <f t="shared" si="250"/>
        <v>81.17</v>
      </c>
      <c r="Q203" s="43">
        <f t="shared" si="250"/>
        <v>81.17</v>
      </c>
      <c r="R203" s="43">
        <f t="shared" si="250"/>
        <v>81.17</v>
      </c>
      <c r="S203" s="43">
        <f t="shared" si="250"/>
        <v>81.17</v>
      </c>
      <c r="T203" s="43">
        <f t="shared" si="250"/>
        <v>81.17</v>
      </c>
      <c r="U203" s="43">
        <f t="shared" si="250"/>
        <v>81.17</v>
      </c>
      <c r="V203" s="43">
        <f t="shared" si="250"/>
        <v>81.17</v>
      </c>
      <c r="W203" s="43">
        <f t="shared" si="250"/>
        <v>81.17</v>
      </c>
    </row>
    <row r="204" spans="1:23" x14ac:dyDescent="0.3">
      <c r="A204" s="14" t="s">
        <v>872</v>
      </c>
      <c r="B204" s="43">
        <f>B346</f>
        <v>144.92753623188395</v>
      </c>
      <c r="C204" s="43">
        <f>C346</f>
        <v>676.10837401190588</v>
      </c>
      <c r="D204" s="43">
        <f>D346</f>
        <v>917.79984150091991</v>
      </c>
      <c r="H204" s="43">
        <f>H346</f>
        <v>676.10837401190588</v>
      </c>
      <c r="I204" s="43">
        <f t="shared" ref="I204:W204" si="251">I346</f>
        <v>0</v>
      </c>
      <c r="J204" s="43">
        <f t="shared" si="251"/>
        <v>691.89944021638416</v>
      </c>
      <c r="K204" s="43">
        <f t="shared" si="251"/>
        <v>676.10837401190588</v>
      </c>
      <c r="L204" s="43">
        <f t="shared" si="251"/>
        <v>676.10837401190588</v>
      </c>
      <c r="M204" s="43">
        <f t="shared" si="251"/>
        <v>628.25475189621545</v>
      </c>
      <c r="N204" s="43">
        <f t="shared" si="251"/>
        <v>676.10837401190588</v>
      </c>
      <c r="O204" s="43">
        <f t="shared" si="251"/>
        <v>676.10837401190588</v>
      </c>
      <c r="P204" s="43">
        <f t="shared" si="251"/>
        <v>676.10837401190588</v>
      </c>
      <c r="Q204" s="43">
        <f t="shared" si="251"/>
        <v>676.10837401190588</v>
      </c>
      <c r="R204" s="43">
        <f t="shared" si="251"/>
        <v>676.10837401190588</v>
      </c>
      <c r="S204" s="43">
        <f t="shared" si="251"/>
        <v>676.10837401190588</v>
      </c>
      <c r="T204" s="43">
        <f t="shared" si="251"/>
        <v>676.10837401190588</v>
      </c>
      <c r="U204" s="43">
        <f t="shared" si="251"/>
        <v>676.10837401190588</v>
      </c>
      <c r="V204" s="43">
        <f t="shared" si="251"/>
        <v>676.10837401190588</v>
      </c>
      <c r="W204" s="43">
        <f t="shared" si="251"/>
        <v>676.10837401190588</v>
      </c>
    </row>
    <row r="205" spans="1:23" x14ac:dyDescent="0.3">
      <c r="A205" s="9" t="s">
        <v>495</v>
      </c>
      <c r="B205" s="67">
        <f>B94+B118+B142+B166+B190+B203*B76/(1+B45)^5</f>
        <v>-412.21929590074933</v>
      </c>
      <c r="C205" s="67">
        <f>C94+C118+C142+C166+C190+C203*C76/(1+C45)^5</f>
        <v>-47.597289165183327</v>
      </c>
      <c r="D205" s="67">
        <f>D94+D118+D142+D166+D190+D203*D76/(1+D45)^5</f>
        <v>168.97143418885935</v>
      </c>
      <c r="H205" s="67">
        <f t="shared" ref="H205:V205" si="252">H94+H118+H142+H166+H190+H203*H76/(1+H45)^5</f>
        <v>-47.597289165183327</v>
      </c>
      <c r="I205" s="67">
        <f t="shared" si="252"/>
        <v>-47.597289165183327</v>
      </c>
      <c r="J205" s="67">
        <f t="shared" si="252"/>
        <v>-47.597289165183327</v>
      </c>
      <c r="K205" s="67">
        <f t="shared" si="252"/>
        <v>-251.02157207694728</v>
      </c>
      <c r="L205" s="67">
        <f t="shared" si="252"/>
        <v>-176.75556402979521</v>
      </c>
      <c r="M205" s="67">
        <f t="shared" si="252"/>
        <v>-71.054143400226906</v>
      </c>
      <c r="N205" s="67">
        <f t="shared" si="252"/>
        <v>-47.597289165183327</v>
      </c>
      <c r="O205" s="67">
        <f t="shared" si="252"/>
        <v>-47.597289165183327</v>
      </c>
      <c r="P205" s="67">
        <f t="shared" si="252"/>
        <v>-47.597289165183327</v>
      </c>
      <c r="Q205" s="67">
        <f t="shared" si="252"/>
        <v>-47.597289165183327</v>
      </c>
      <c r="R205" s="67">
        <f t="shared" si="252"/>
        <v>-47.597289165183327</v>
      </c>
      <c r="S205" s="67">
        <f t="shared" si="252"/>
        <v>-47.597289165183327</v>
      </c>
      <c r="T205" s="67">
        <f t="shared" si="252"/>
        <v>-47.597289165183327</v>
      </c>
      <c r="U205" s="67">
        <f t="shared" si="252"/>
        <v>-47.597289165183327</v>
      </c>
      <c r="V205" s="67">
        <f t="shared" si="252"/>
        <v>-47.597289165183327</v>
      </c>
      <c r="W205" s="67">
        <f t="shared" ref="W205" si="253">W94+W118+W142+W166+W190+W203*W76/(1+W45)^5</f>
        <v>-47.597289165183327</v>
      </c>
    </row>
    <row r="206" spans="1:23" x14ac:dyDescent="0.3">
      <c r="A206" s="9" t="s">
        <v>873</v>
      </c>
      <c r="B206" s="67">
        <f>B95+B119+B143+B167+B191+B204/(1+B45)^5</f>
        <v>-403.6738225699155</v>
      </c>
      <c r="C206" s="67">
        <f>C95+C119+C143+C167+C191+C204/(1+C45)^5</f>
        <v>-104.93218025116477</v>
      </c>
      <c r="D206" s="67">
        <f>D95+D119+D143+D167+D191+D204/(1+D45)^5</f>
        <v>33.363774861568231</v>
      </c>
      <c r="H206" s="67">
        <f>H95+H119+H143+H167+H191+H204/(1+H45)^5</f>
        <v>-104.93218025116477</v>
      </c>
      <c r="I206" s="67">
        <f t="shared" ref="I206:W206" si="254">I95+I119+I143+I167+I191+I204/(1+I45)^5</f>
        <v>0</v>
      </c>
      <c r="J206" s="67">
        <f t="shared" si="254"/>
        <v>-124.79804024702577</v>
      </c>
      <c r="K206" s="67">
        <f t="shared" si="254"/>
        <v>-104.93218025116477</v>
      </c>
      <c r="L206" s="67">
        <f t="shared" si="254"/>
        <v>-104.93218025116477</v>
      </c>
      <c r="M206" s="67">
        <f t="shared" si="254"/>
        <v>-135.46396639124066</v>
      </c>
      <c r="N206" s="67">
        <f t="shared" si="254"/>
        <v>-104.93218025116477</v>
      </c>
      <c r="O206" s="67">
        <f t="shared" si="254"/>
        <v>-104.93218025116477</v>
      </c>
      <c r="P206" s="67">
        <f t="shared" si="254"/>
        <v>-104.93218025116477</v>
      </c>
      <c r="Q206" s="67">
        <f t="shared" si="254"/>
        <v>-104.93218025116477</v>
      </c>
      <c r="R206" s="67">
        <f t="shared" si="254"/>
        <v>-104.93218025116477</v>
      </c>
      <c r="S206" s="67">
        <f t="shared" si="254"/>
        <v>-104.93218025116477</v>
      </c>
      <c r="T206" s="67">
        <f t="shared" si="254"/>
        <v>-104.93218025116477</v>
      </c>
      <c r="U206" s="67">
        <f t="shared" si="254"/>
        <v>-104.93218025116477</v>
      </c>
      <c r="V206" s="67">
        <f t="shared" si="254"/>
        <v>-104.93218025116477</v>
      </c>
      <c r="W206" s="67">
        <f t="shared" si="254"/>
        <v>-104.93218025116477</v>
      </c>
    </row>
    <row r="207" spans="1:23" x14ac:dyDescent="0.3">
      <c r="A207" s="9" t="s">
        <v>496</v>
      </c>
      <c r="B207" s="68">
        <f>B205+B206</f>
        <v>-815.89311847066483</v>
      </c>
      <c r="C207" s="68">
        <f>C205+C206</f>
        <v>-152.52946941634809</v>
      </c>
      <c r="D207" s="68">
        <f>D205+D206</f>
        <v>202.33520905042758</v>
      </c>
      <c r="F207" s="38" t="s">
        <v>929</v>
      </c>
      <c r="H207" s="68">
        <f t="shared" ref="H207:V207" si="255">H205+H206</f>
        <v>-152.52946941634809</v>
      </c>
      <c r="I207" s="68">
        <f t="shared" si="255"/>
        <v>-47.597289165183327</v>
      </c>
      <c r="J207" s="68">
        <f t="shared" si="255"/>
        <v>-172.39532941220909</v>
      </c>
      <c r="K207" s="68">
        <f t="shared" si="255"/>
        <v>-355.95375232811205</v>
      </c>
      <c r="L207" s="68">
        <f t="shared" si="255"/>
        <v>-281.68774428095998</v>
      </c>
      <c r="M207" s="68">
        <f t="shared" si="255"/>
        <v>-206.51810979146757</v>
      </c>
      <c r="N207" s="68">
        <f t="shared" si="255"/>
        <v>-152.52946941634809</v>
      </c>
      <c r="O207" s="68">
        <f t="shared" si="255"/>
        <v>-152.52946941634809</v>
      </c>
      <c r="P207" s="68">
        <f t="shared" si="255"/>
        <v>-152.52946941634809</v>
      </c>
      <c r="Q207" s="68">
        <f t="shared" si="255"/>
        <v>-152.52946941634809</v>
      </c>
      <c r="R207" s="68">
        <f t="shared" si="255"/>
        <v>-152.52946941634809</v>
      </c>
      <c r="S207" s="68">
        <f t="shared" si="255"/>
        <v>-152.52946941634809</v>
      </c>
      <c r="T207" s="68">
        <f t="shared" si="255"/>
        <v>-152.52946941634809</v>
      </c>
      <c r="U207" s="68">
        <f t="shared" si="255"/>
        <v>-152.52946941634809</v>
      </c>
      <c r="V207" s="68">
        <f t="shared" si="255"/>
        <v>-152.52946941634809</v>
      </c>
      <c r="W207" s="68">
        <f t="shared" ref="W207" si="256">W205+W206</f>
        <v>-152.52946941634809</v>
      </c>
    </row>
    <row r="208" spans="1:23" x14ac:dyDescent="0.3">
      <c r="A208" s="14" t="s">
        <v>497</v>
      </c>
      <c r="B208" s="15">
        <f>B207*1000/'01_Số liệu gốc'!$B$8</f>
        <v>-7417.2101679151347</v>
      </c>
      <c r="C208" s="15">
        <f>C207*1000/'01_Số liệu gốc'!$B$8</f>
        <v>-1386.631540148619</v>
      </c>
      <c r="D208" s="15">
        <f>D207*1000/'01_Số liệu gốc'!$B$8</f>
        <v>1839.4109913675234</v>
      </c>
      <c r="H208" s="15">
        <f>H207*1000/'01_Số liệu gốc'!$B$8</f>
        <v>-1386.631540148619</v>
      </c>
      <c r="I208" s="15">
        <f>I207*1000/'01_Số liệu gốc'!$B$8</f>
        <v>-432.70262877439387</v>
      </c>
      <c r="J208" s="15">
        <f>J207*1000/'01_Số liệu gốc'!$B$8</f>
        <v>-1567.2302673837191</v>
      </c>
      <c r="K208" s="15">
        <f>K207*1000/'01_Số liệu gốc'!$B$8</f>
        <v>-3235.9432029828367</v>
      </c>
      <c r="L208" s="15">
        <f>L207*1000/'01_Số liệu gốc'!$B$8</f>
        <v>-2560.7976752814548</v>
      </c>
      <c r="M208" s="15">
        <f>M207*1000/'01_Số liệu gốc'!$B$8</f>
        <v>-1877.4373617406143</v>
      </c>
      <c r="N208" s="15">
        <f>N207*1000/'01_Số liệu gốc'!$B$8</f>
        <v>-1386.631540148619</v>
      </c>
      <c r="O208" s="15">
        <f>O207*1000/'01_Số liệu gốc'!$B$8</f>
        <v>-1386.631540148619</v>
      </c>
      <c r="P208" s="15">
        <f>P207*1000/'01_Số liệu gốc'!$B$8</f>
        <v>-1386.631540148619</v>
      </c>
      <c r="Q208" s="15">
        <f>Q207*1000/'01_Số liệu gốc'!$B$8</f>
        <v>-1386.631540148619</v>
      </c>
      <c r="R208" s="15">
        <f>R207*1000/'01_Số liệu gốc'!$B$8</f>
        <v>-1386.631540148619</v>
      </c>
      <c r="S208" s="15">
        <f>S207*1000/'01_Số liệu gốc'!$B$8</f>
        <v>-1386.631540148619</v>
      </c>
      <c r="T208" s="15">
        <f>T207*1000/'01_Số liệu gốc'!$B$8</f>
        <v>-1386.631540148619</v>
      </c>
      <c r="U208" s="15">
        <f>U207*1000/'01_Số liệu gốc'!$B$8</f>
        <v>-1386.631540148619</v>
      </c>
      <c r="V208" s="15">
        <f>V207*1000/'01_Số liệu gốc'!$B$8</f>
        <v>-1386.631540148619</v>
      </c>
      <c r="W208" s="15">
        <f>W207*1000/'01_Số liệu gốc'!$B$8</f>
        <v>-1386.631540148619</v>
      </c>
    </row>
    <row r="209" spans="1:23" x14ac:dyDescent="0.3">
      <c r="A209" s="14" t="s">
        <v>498</v>
      </c>
      <c r="B209" s="69">
        <f>(1-B36)*(B20/(1+B45)+1/(1+B45)^2+1/(1+B45)^3+1/(1+B45)^4+1/(1+B45)^5+B76/(1+B45)^5)</f>
        <v>6.2977998844866034</v>
      </c>
      <c r="C209" s="69">
        <f>(1-C36)*(C20/(1+C45)+1/(1+C45)^2+1/(1+C45)^3+1/(1+C45)^4+1/(1+C45)^5+C76/(1+C45)^5)</f>
        <v>6.4579137432305993</v>
      </c>
      <c r="D209" s="69">
        <f>(1-D36)*(D20/(1+D45)+1/(1+D45)^2+1/(1+D45)^3+1/(1+D45)^4+1/(1+D45)^5+D76/(1+D45)^5)</f>
        <v>6.5379706726025972</v>
      </c>
      <c r="F209" s="38" t="s">
        <v>499</v>
      </c>
      <c r="H209" s="69">
        <f t="shared" ref="H209:V209" si="257">(1-H36)*(H20/(1+H45)+1/(1+H45)^2+1/(1+H45)^3+1/(1+H45)^4+1/(1+H45)^5+H76/(1+H45)^5)</f>
        <v>6.4579137432305993</v>
      </c>
      <c r="I209" s="69">
        <f t="shared" si="257"/>
        <v>6.4579137432305993</v>
      </c>
      <c r="J209" s="69">
        <f t="shared" si="257"/>
        <v>6.4579137432305993</v>
      </c>
      <c r="K209" s="69">
        <f t="shared" si="257"/>
        <v>6.4579137432305993</v>
      </c>
      <c r="L209" s="69">
        <f t="shared" si="257"/>
        <v>6.4579137432305993</v>
      </c>
      <c r="M209" s="69">
        <f t="shared" si="257"/>
        <v>6.1558274278564253</v>
      </c>
      <c r="N209" s="69">
        <f t="shared" si="257"/>
        <v>6.4579137432305993</v>
      </c>
      <c r="O209" s="69">
        <f t="shared" si="257"/>
        <v>6.4579137432305993</v>
      </c>
      <c r="P209" s="69">
        <f t="shared" si="257"/>
        <v>6.4579137432305993</v>
      </c>
      <c r="Q209" s="69">
        <f t="shared" si="257"/>
        <v>6.4579137432305993</v>
      </c>
      <c r="R209" s="69">
        <f t="shared" si="257"/>
        <v>6.4579137432305993</v>
      </c>
      <c r="S209" s="69">
        <f t="shared" si="257"/>
        <v>6.4579137432305993</v>
      </c>
      <c r="T209" s="69">
        <f t="shared" si="257"/>
        <v>6.4579137432305993</v>
      </c>
      <c r="U209" s="69">
        <f t="shared" si="257"/>
        <v>6.4579137432305993</v>
      </c>
      <c r="V209" s="69">
        <f t="shared" si="257"/>
        <v>6.4579137432305993</v>
      </c>
      <c r="W209" s="69">
        <f t="shared" ref="W209" si="258">(1-W36)*(W20/(1+W45)+1/(1+W45)^2+1/(1+W45)^3+1/(1+W45)^4+1/(1+W45)^5+W76/(1+W45)^5)</f>
        <v>6.4579137432305993</v>
      </c>
    </row>
    <row r="210" spans="1:23" x14ac:dyDescent="0.3">
      <c r="A210" s="9" t="s">
        <v>500</v>
      </c>
      <c r="B210" s="71">
        <f>B21-B205/(B209*B19*(1+B23)/1000)</f>
        <v>16463.200666375476</v>
      </c>
      <c r="C210" s="71">
        <f>C21-C205/(C209*C19*(1+C23)/1000)</f>
        <v>14850.970556345739</v>
      </c>
      <c r="D210" s="71">
        <f>D21-D205/(D209*D19*(1+D23)/1000)</f>
        <v>13881.184840508837</v>
      </c>
      <c r="H210" s="71">
        <f t="shared" ref="H210:V210" si="259">H21-H205/(H209*H19*(1+H23)/1000)</f>
        <v>14850.970556345739</v>
      </c>
      <c r="I210" s="71">
        <f t="shared" si="259"/>
        <v>14850.970556345739</v>
      </c>
      <c r="J210" s="71">
        <f t="shared" si="259"/>
        <v>14850.970556345739</v>
      </c>
      <c r="K210" s="71">
        <f t="shared" si="259"/>
        <v>14850.970556345741</v>
      </c>
      <c r="L210" s="71">
        <f t="shared" si="259"/>
        <v>15803.351508726691</v>
      </c>
      <c r="M210" s="71">
        <f t="shared" si="259"/>
        <v>15049.646766053715</v>
      </c>
      <c r="N210" s="71">
        <f t="shared" si="259"/>
        <v>14850.970556345739</v>
      </c>
      <c r="O210" s="71">
        <f t="shared" si="259"/>
        <v>14850.970556345739</v>
      </c>
      <c r="P210" s="71">
        <f t="shared" si="259"/>
        <v>14850.970556345739</v>
      </c>
      <c r="Q210" s="71">
        <f t="shared" si="259"/>
        <v>14850.970556345739</v>
      </c>
      <c r="R210" s="71">
        <f t="shared" si="259"/>
        <v>14850.970556345739</v>
      </c>
      <c r="S210" s="71">
        <f t="shared" si="259"/>
        <v>14850.970556345739</v>
      </c>
      <c r="T210" s="71">
        <f t="shared" si="259"/>
        <v>14850.970556345739</v>
      </c>
      <c r="U210" s="71">
        <f t="shared" si="259"/>
        <v>14850.970556345739</v>
      </c>
      <c r="V210" s="71">
        <f t="shared" si="259"/>
        <v>14850.970556345739</v>
      </c>
      <c r="W210" s="71">
        <f t="shared" ref="W210" si="260">W21-W205/(W209*W19*(1+W23)/1000)</f>
        <v>14850.970556345739</v>
      </c>
    </row>
    <row r="211" spans="1:23" x14ac:dyDescent="0.3">
      <c r="A211" s="14" t="s">
        <v>874</v>
      </c>
      <c r="B211" s="69">
        <f>B347</f>
        <v>4.0355525672232124</v>
      </c>
      <c r="C211" s="69">
        <f>C347</f>
        <v>3.7577437802870954</v>
      </c>
      <c r="D211" s="69">
        <f>D347</f>
        <v>4.5436725929799842</v>
      </c>
      <c r="H211" s="69">
        <f>H347</f>
        <v>3.7577437802870954</v>
      </c>
      <c r="I211" s="69">
        <f t="shared" ref="I211:W211" si="261">I347</f>
        <v>0</v>
      </c>
      <c r="J211" s="69">
        <f t="shared" si="261"/>
        <v>4.2169201654163544</v>
      </c>
      <c r="K211" s="69">
        <f t="shared" si="261"/>
        <v>3.7577437802870954</v>
      </c>
      <c r="L211" s="69">
        <f t="shared" si="261"/>
        <v>3.7577437802870954</v>
      </c>
      <c r="M211" s="69">
        <f t="shared" si="261"/>
        <v>3.3656660269399965</v>
      </c>
      <c r="N211" s="69">
        <f t="shared" si="261"/>
        <v>3.7577437802870954</v>
      </c>
      <c r="O211" s="69">
        <f t="shared" si="261"/>
        <v>3.7577437802870954</v>
      </c>
      <c r="P211" s="69">
        <f t="shared" si="261"/>
        <v>3.7577437802870954</v>
      </c>
      <c r="Q211" s="69">
        <f t="shared" si="261"/>
        <v>3.7577437802870954</v>
      </c>
      <c r="R211" s="69">
        <f t="shared" si="261"/>
        <v>3.7577437802870954</v>
      </c>
      <c r="S211" s="69">
        <f t="shared" si="261"/>
        <v>3.7577437802870954</v>
      </c>
      <c r="T211" s="69">
        <f t="shared" si="261"/>
        <v>3.7577437802870954</v>
      </c>
      <c r="U211" s="69">
        <f t="shared" si="261"/>
        <v>3.7577437802870954</v>
      </c>
      <c r="V211" s="69">
        <f t="shared" si="261"/>
        <v>3.7577437802870954</v>
      </c>
      <c r="W211" s="69">
        <f t="shared" si="261"/>
        <v>3.7577437802870954</v>
      </c>
    </row>
    <row r="212" spans="1:23" x14ac:dyDescent="0.3">
      <c r="A212" s="9" t="s">
        <v>875</v>
      </c>
      <c r="B212" s="67">
        <f>IF(B27=0,0,B271-B206/B211)</f>
        <v>120.02938032540011</v>
      </c>
      <c r="C212" s="67">
        <f>IF(C27=0,0,C271-C206/C211)</f>
        <v>117.92425092994175</v>
      </c>
      <c r="D212" s="67">
        <f>IF(D27=0,0,D271-D206/D211)</f>
        <v>102.65709089314323</v>
      </c>
      <c r="H212" s="67">
        <f>IF(H27=0,0,H271-H206/H211)</f>
        <v>117.92425092994175</v>
      </c>
      <c r="I212" s="67">
        <f t="shared" ref="I212:W212" si="262">IF(I27=0,0,I271-I206/I211)</f>
        <v>0</v>
      </c>
      <c r="J212" s="67">
        <f t="shared" si="262"/>
        <v>119.59459400500742</v>
      </c>
      <c r="K212" s="67">
        <f t="shared" si="262"/>
        <v>117.92425092994175</v>
      </c>
      <c r="L212" s="67">
        <f t="shared" si="262"/>
        <v>117.92425092994175</v>
      </c>
      <c r="M212" s="67">
        <f t="shared" si="262"/>
        <v>130.2487844328399</v>
      </c>
      <c r="N212" s="67">
        <f t="shared" si="262"/>
        <v>117.92425092994175</v>
      </c>
      <c r="O212" s="67">
        <f t="shared" si="262"/>
        <v>117.92425092994175</v>
      </c>
      <c r="P212" s="67">
        <f t="shared" si="262"/>
        <v>117.92425092994175</v>
      </c>
      <c r="Q212" s="67">
        <f t="shared" si="262"/>
        <v>117.92425092994175</v>
      </c>
      <c r="R212" s="67">
        <f t="shared" si="262"/>
        <v>117.92425092994175</v>
      </c>
      <c r="S212" s="67">
        <f t="shared" si="262"/>
        <v>117.92425092994175</v>
      </c>
      <c r="T212" s="67">
        <f t="shared" si="262"/>
        <v>117.92425092994175</v>
      </c>
      <c r="U212" s="67">
        <f t="shared" si="262"/>
        <v>117.92425092994175</v>
      </c>
      <c r="V212" s="67">
        <f t="shared" si="262"/>
        <v>117.92425092994175</v>
      </c>
      <c r="W212" s="67">
        <f t="shared" si="262"/>
        <v>117.92425092994175</v>
      </c>
    </row>
    <row r="213" spans="1:23" x14ac:dyDescent="0.3">
      <c r="A213" s="14" t="s">
        <v>501</v>
      </c>
      <c r="B213" s="57">
        <f>IF(B27=0,0,B212/B28)</f>
        <v>0.14121103567694132</v>
      </c>
      <c r="C213" s="57">
        <f>IF(C27=0,0,C212/C28)</f>
        <v>0.15871366208605889</v>
      </c>
      <c r="D213" s="57">
        <f>IF(D27=0,0,D212/D28)</f>
        <v>0.13816566742011202</v>
      </c>
      <c r="H213" s="57">
        <f t="shared" ref="H213:V213" si="263">IF(H27=0,0,H212/H28)</f>
        <v>0.15871366208605889</v>
      </c>
      <c r="I213" s="57">
        <f t="shared" si="263"/>
        <v>0</v>
      </c>
      <c r="J213" s="57">
        <f t="shared" si="263"/>
        <v>0.16096176851279601</v>
      </c>
      <c r="K213" s="57">
        <f t="shared" si="263"/>
        <v>0.15871366208605889</v>
      </c>
      <c r="L213" s="57">
        <f t="shared" si="263"/>
        <v>0.15871366208605889</v>
      </c>
      <c r="M213" s="57">
        <f t="shared" si="263"/>
        <v>0.17530119035375491</v>
      </c>
      <c r="N213" s="57">
        <f t="shared" si="263"/>
        <v>0.15871366208605889</v>
      </c>
      <c r="O213" s="57">
        <f t="shared" si="263"/>
        <v>0.15871366208605889</v>
      </c>
      <c r="P213" s="57">
        <f t="shared" si="263"/>
        <v>0.15871366208605889</v>
      </c>
      <c r="Q213" s="57">
        <f t="shared" si="263"/>
        <v>0.15871366208605889</v>
      </c>
      <c r="R213" s="57">
        <f t="shared" si="263"/>
        <v>0.15871366208605889</v>
      </c>
      <c r="S213" s="57">
        <f t="shared" si="263"/>
        <v>0.15871366208605889</v>
      </c>
      <c r="T213" s="57">
        <f t="shared" si="263"/>
        <v>0.15871366208605889</v>
      </c>
      <c r="U213" s="57">
        <f t="shared" si="263"/>
        <v>0.15871366208605889</v>
      </c>
      <c r="V213" s="57">
        <f t="shared" si="263"/>
        <v>0.15871366208605889</v>
      </c>
      <c r="W213" s="57">
        <f t="shared" ref="W213" si="264">IF(W27=0,0,W212/W28)</f>
        <v>0.15871366208605889</v>
      </c>
    </row>
    <row r="214" spans="1:23" x14ac:dyDescent="0.3">
      <c r="A214" s="14" t="s">
        <v>502</v>
      </c>
      <c r="B214" s="27">
        <f>'01_Số liệu gốc'!$C$65</f>
        <v>1398.537</v>
      </c>
      <c r="C214" s="27">
        <f>'01_Số liệu gốc'!$C$65</f>
        <v>1398.537</v>
      </c>
      <c r="D214" s="27">
        <f>'01_Số liệu gốc'!$C$65</f>
        <v>1398.537</v>
      </c>
      <c r="H214" s="27">
        <f>'01_Số liệu gốc'!$C$65</f>
        <v>1398.537</v>
      </c>
      <c r="I214" s="27">
        <f>'01_Số liệu gốc'!$C$65</f>
        <v>1398.537</v>
      </c>
      <c r="J214" s="27">
        <f>'01_Số liệu gốc'!$C$65</f>
        <v>1398.537</v>
      </c>
      <c r="K214" s="27">
        <f>'01_Số liệu gốc'!$C$65</f>
        <v>1398.537</v>
      </c>
      <c r="L214" s="27">
        <f>'01_Số liệu gốc'!$C$65</f>
        <v>1398.537</v>
      </c>
      <c r="M214" s="27">
        <f>'01_Số liệu gốc'!$C$65</f>
        <v>1398.537</v>
      </c>
      <c r="N214" s="27">
        <f>'01_Số liệu gốc'!$C$65</f>
        <v>1398.537</v>
      </c>
      <c r="O214" s="27">
        <f>'01_Số liệu gốc'!$C$65</f>
        <v>1398.537</v>
      </c>
      <c r="P214" s="27">
        <f>'01_Số liệu gốc'!$C$65</f>
        <v>1398.537</v>
      </c>
      <c r="Q214" s="27">
        <f>'01_Số liệu gốc'!$C$65</f>
        <v>1398.537</v>
      </c>
      <c r="R214" s="27">
        <f>'01_Số liệu gốc'!$C$65</f>
        <v>1398.537</v>
      </c>
      <c r="S214" s="27">
        <f>'01_Số liệu gốc'!$C$65</f>
        <v>1398.537</v>
      </c>
      <c r="T214" s="27">
        <f>'01_Số liệu gốc'!$C$65</f>
        <v>1398.537</v>
      </c>
      <c r="U214" s="27">
        <f>'01_Số liệu gốc'!$C$65</f>
        <v>1398.537</v>
      </c>
      <c r="V214" s="27">
        <f>'01_Số liệu gốc'!$C$65</f>
        <v>1398.537</v>
      </c>
      <c r="W214" s="27">
        <f>'01_Số liệu gốc'!$C$65</f>
        <v>1398.537</v>
      </c>
    </row>
    <row r="215" spans="1:23" x14ac:dyDescent="0.3">
      <c r="A215" s="14" t="s">
        <v>497</v>
      </c>
      <c r="B215" s="15">
        <f>B214*1000/'01_Số liệu gốc'!$B$8</f>
        <v>12713.972727272727</v>
      </c>
      <c r="C215" s="15">
        <f>C214*1000/'01_Số liệu gốc'!$B$8</f>
        <v>12713.972727272727</v>
      </c>
      <c r="D215" s="15">
        <f>D214*1000/'01_Số liệu gốc'!$B$8</f>
        <v>12713.972727272727</v>
      </c>
      <c r="H215" s="15">
        <f>H214*1000/'01_Số liệu gốc'!$B$8</f>
        <v>12713.972727272727</v>
      </c>
      <c r="I215" s="15">
        <f>I214*1000/'01_Số liệu gốc'!$B$8</f>
        <v>12713.972727272727</v>
      </c>
      <c r="J215" s="15">
        <f>J214*1000/'01_Số liệu gốc'!$B$8</f>
        <v>12713.972727272727</v>
      </c>
      <c r="K215" s="15">
        <f>K214*1000/'01_Số liệu gốc'!$B$8</f>
        <v>12713.972727272727</v>
      </c>
      <c r="L215" s="15">
        <f>L214*1000/'01_Số liệu gốc'!$B$8</f>
        <v>12713.972727272727</v>
      </c>
      <c r="M215" s="15">
        <f>M214*1000/'01_Số liệu gốc'!$B$8</f>
        <v>12713.972727272727</v>
      </c>
      <c r="N215" s="15">
        <f>N214*1000/'01_Số liệu gốc'!$B$8</f>
        <v>12713.972727272727</v>
      </c>
      <c r="O215" s="15">
        <f>O214*1000/'01_Số liệu gốc'!$B$8</f>
        <v>12713.972727272727</v>
      </c>
      <c r="P215" s="15">
        <f>P214*1000/'01_Số liệu gốc'!$B$8</f>
        <v>12713.972727272727</v>
      </c>
      <c r="Q215" s="15">
        <f>Q214*1000/'01_Số liệu gốc'!$B$8</f>
        <v>12713.972727272727</v>
      </c>
      <c r="R215" s="15">
        <f>R214*1000/'01_Số liệu gốc'!$B$8</f>
        <v>12713.972727272727</v>
      </c>
      <c r="S215" s="15">
        <f>S214*1000/'01_Số liệu gốc'!$B$8</f>
        <v>12713.972727272727</v>
      </c>
      <c r="T215" s="15">
        <f>T214*1000/'01_Số liệu gốc'!$B$8</f>
        <v>12713.972727272727</v>
      </c>
      <c r="U215" s="15">
        <f>U214*1000/'01_Số liệu gốc'!$B$8</f>
        <v>12713.972727272727</v>
      </c>
      <c r="V215" s="15">
        <f>V214*1000/'01_Số liệu gốc'!$B$8</f>
        <v>12713.972727272727</v>
      </c>
      <c r="W215" s="15">
        <f>W214*1000/'01_Số liệu gốc'!$B$8</f>
        <v>12713.972727272727</v>
      </c>
    </row>
    <row r="216" spans="1:23" x14ac:dyDescent="0.3">
      <c r="A216" s="14" t="s">
        <v>801</v>
      </c>
      <c r="B216" s="27">
        <f>'01_Số liệu gốc'!$C$66</f>
        <v>23.984000000000002</v>
      </c>
      <c r="C216" s="27">
        <f>'01_Số liệu gốc'!$C$66</f>
        <v>23.984000000000002</v>
      </c>
      <c r="D216" s="27">
        <f>'01_Số liệu gốc'!$C$66</f>
        <v>23.984000000000002</v>
      </c>
      <c r="H216" s="27">
        <f>'01_Số liệu gốc'!$C$66</f>
        <v>23.984000000000002</v>
      </c>
      <c r="I216" s="27">
        <f>'01_Số liệu gốc'!$C$66</f>
        <v>23.984000000000002</v>
      </c>
      <c r="J216" s="27">
        <f>'01_Số liệu gốc'!$C$66</f>
        <v>23.984000000000002</v>
      </c>
      <c r="K216" s="27">
        <f>'01_Số liệu gốc'!$C$66</f>
        <v>23.984000000000002</v>
      </c>
      <c r="L216" s="27">
        <f>'01_Số liệu gốc'!$C$66</f>
        <v>23.984000000000002</v>
      </c>
      <c r="M216" s="27">
        <f>'01_Số liệu gốc'!$C$66</f>
        <v>23.984000000000002</v>
      </c>
      <c r="N216" s="27">
        <f>'01_Số liệu gốc'!$C$66</f>
        <v>23.984000000000002</v>
      </c>
      <c r="O216" s="27">
        <f>'01_Số liệu gốc'!$C$66</f>
        <v>23.984000000000002</v>
      </c>
      <c r="P216" s="27">
        <f>'01_Số liệu gốc'!$C$66</f>
        <v>23.984000000000002</v>
      </c>
      <c r="Q216" s="27">
        <f>'01_Số liệu gốc'!$C$66</f>
        <v>23.984000000000002</v>
      </c>
      <c r="R216" s="27">
        <f>'01_Số liệu gốc'!$C$66</f>
        <v>23.984000000000002</v>
      </c>
      <c r="S216" s="27">
        <f>'01_Số liệu gốc'!$C$66</f>
        <v>23.984000000000002</v>
      </c>
      <c r="T216" s="27">
        <f>'01_Số liệu gốc'!$C$66</f>
        <v>23.984000000000002</v>
      </c>
      <c r="U216" s="27">
        <f>'01_Số liệu gốc'!$C$66</f>
        <v>23.984000000000002</v>
      </c>
      <c r="V216" s="27">
        <f>'01_Số liệu gốc'!$C$66</f>
        <v>23.984000000000002</v>
      </c>
      <c r="W216" s="27">
        <f>'01_Số liệu gốc'!$C$66</f>
        <v>23.984000000000002</v>
      </c>
    </row>
    <row r="218" spans="1:23" x14ac:dyDescent="0.3">
      <c r="A218" s="51" t="s">
        <v>503</v>
      </c>
      <c r="B218" s="52"/>
      <c r="C218" s="52"/>
      <c r="D218" s="52"/>
      <c r="E218" s="52"/>
      <c r="F218" s="52"/>
      <c r="G218" s="52"/>
      <c r="H218" s="52"/>
      <c r="I218" s="52"/>
      <c r="J218" s="52"/>
      <c r="K218" s="52"/>
      <c r="L218" s="52"/>
      <c r="M218" s="52"/>
      <c r="N218" s="52"/>
      <c r="O218" s="52"/>
      <c r="P218" s="52"/>
      <c r="Q218" s="52"/>
      <c r="R218" s="52"/>
      <c r="S218" s="52"/>
      <c r="T218" s="52"/>
      <c r="U218" s="52"/>
      <c r="V218" s="52"/>
      <c r="W218" s="52"/>
    </row>
    <row r="219" spans="1:23" x14ac:dyDescent="0.3">
      <c r="A219" s="14" t="s">
        <v>504</v>
      </c>
      <c r="B219" s="43">
        <f>B58*B12</f>
        <v>1295.1066708915887</v>
      </c>
      <c r="C219" s="43">
        <f>C58*C12</f>
        <v>1899.8159562201802</v>
      </c>
      <c r="D219" s="43">
        <f>D58*D12</f>
        <v>2513.37044154877</v>
      </c>
      <c r="H219" s="43">
        <f t="shared" ref="H219:V219" si="265">H58*H12</f>
        <v>1899.8159562201802</v>
      </c>
      <c r="I219" s="43">
        <f t="shared" si="265"/>
        <v>1899.8159562201802</v>
      </c>
      <c r="J219" s="43">
        <f t="shared" si="265"/>
        <v>1899.8159562201802</v>
      </c>
      <c r="K219" s="43">
        <f t="shared" si="265"/>
        <v>1899.8159562201802</v>
      </c>
      <c r="L219" s="43">
        <f t="shared" si="265"/>
        <v>1899.8159562201802</v>
      </c>
      <c r="M219" s="43">
        <f t="shared" si="265"/>
        <v>1899.8159562201802</v>
      </c>
      <c r="N219" s="43">
        <f t="shared" si="265"/>
        <v>1899.8159562201802</v>
      </c>
      <c r="O219" s="43">
        <f t="shared" si="265"/>
        <v>1899.8159562201802</v>
      </c>
      <c r="P219" s="43">
        <f t="shared" si="265"/>
        <v>1705.7639707487751</v>
      </c>
      <c r="Q219" s="43">
        <f t="shared" si="265"/>
        <v>2078.0464978486939</v>
      </c>
      <c r="R219" s="43">
        <f t="shared" si="265"/>
        <v>1820.3957531938456</v>
      </c>
      <c r="S219" s="43">
        <f t="shared" si="265"/>
        <v>1759.0888483520187</v>
      </c>
      <c r="T219" s="43">
        <f t="shared" si="265"/>
        <v>2443.3744103609538</v>
      </c>
      <c r="U219" s="43">
        <f t="shared" si="265"/>
        <v>2037.2950329514904</v>
      </c>
      <c r="V219" s="43">
        <f t="shared" si="265"/>
        <v>1899.8159562201802</v>
      </c>
      <c r="W219" s="43">
        <f t="shared" ref="W219" si="266">W58*W12</f>
        <v>1916.983179712611</v>
      </c>
    </row>
    <row r="220" spans="1:23" x14ac:dyDescent="0.3">
      <c r="A220" s="9" t="s">
        <v>812</v>
      </c>
      <c r="B220" s="67">
        <f>B219+(B214-B216)*(1-'02_Giả định'!$B$26)+B207</f>
        <v>1716.3112524209241</v>
      </c>
      <c r="C220" s="67">
        <f>C219+(C214-C216)*(1-'02_Giả định'!$B$26)+C207</f>
        <v>2984.3841868038321</v>
      </c>
      <c r="D220" s="67">
        <f>D219+(D214-D216)*(1-'02_Giả định'!$B$26)+D207</f>
        <v>3952.803350599198</v>
      </c>
      <c r="H220" s="67">
        <f>H219+(H214-H216)*(1-'02_Giả định'!$B$26)+H207</f>
        <v>2984.3841868038321</v>
      </c>
      <c r="I220" s="67">
        <f>I219+(I214-I216)*(1-'02_Giả định'!$B$26)+I207</f>
        <v>3089.316367054997</v>
      </c>
      <c r="J220" s="67">
        <f>J219+(J214-J216)*(1-'02_Giả định'!$B$26)+J207</f>
        <v>2964.5183268079709</v>
      </c>
      <c r="K220" s="67">
        <f>K219+(K214-K216)*(1-'02_Giả định'!$B$26)+K207</f>
        <v>2780.9599038920683</v>
      </c>
      <c r="L220" s="67">
        <f>L219+(L214-L216)*(1-'02_Giả định'!$B$26)+L207</f>
        <v>2855.2259119392202</v>
      </c>
      <c r="M220" s="67">
        <f>M219+(M214-M216)*(1-'02_Giả định'!$B$26)+M207</f>
        <v>2930.3955464287128</v>
      </c>
      <c r="N220" s="67">
        <f>N219+(N214-N216)*(1-'02_Giả định'!$B$26)+N207</f>
        <v>2984.3841868038321</v>
      </c>
      <c r="O220" s="67">
        <f>O219+(O214-O216)*(1-'02_Giả định'!$B$26)+O207</f>
        <v>2984.3841868038321</v>
      </c>
      <c r="P220" s="67">
        <f>P219+(P214-P216)*(1-'02_Giả định'!$B$26)+P207</f>
        <v>2790.3322013324273</v>
      </c>
      <c r="Q220" s="67">
        <f>Q219+(Q214-Q216)*(1-'02_Giả định'!$B$26)+Q207</f>
        <v>3162.6147284323456</v>
      </c>
      <c r="R220" s="67">
        <f>R219+(R214-R216)*(1-'02_Giả định'!$B$26)+R207</f>
        <v>2904.9639837774976</v>
      </c>
      <c r="S220" s="67">
        <f>S219+(S214-S216)*(1-'02_Giả định'!$B$26)+S207</f>
        <v>2843.6570789356706</v>
      </c>
      <c r="T220" s="67">
        <f>T219+(T214-T216)*(1-'02_Giả định'!$B$26)+T207</f>
        <v>3527.9426409446055</v>
      </c>
      <c r="U220" s="67">
        <f>U219+(U214-U216)*(1-'02_Giả định'!$B$26)+U207</f>
        <v>3121.8632635351423</v>
      </c>
      <c r="V220" s="67">
        <f>V219+(V214-V216)*(1-'02_Giả định'!$B$26)+V207</f>
        <v>2984.3841868038321</v>
      </c>
      <c r="W220" s="67">
        <f>W219+(W214-W216)*(1-'02_Giả định'!$B$26)+W207</f>
        <v>3001.5514102962629</v>
      </c>
    </row>
    <row r="221" spans="1:23" x14ac:dyDescent="0.3">
      <c r="A221" s="9" t="s">
        <v>505</v>
      </c>
      <c r="B221" s="18">
        <f>MAX(0,B220*1000/'01_Số liệu gốc'!$B$8)</f>
        <v>15602.829567462946</v>
      </c>
      <c r="C221" s="18">
        <f>MAX(0,C220*1000/'01_Số liệu gốc'!$B$8)</f>
        <v>27130.765334580294</v>
      </c>
      <c r="D221" s="18">
        <f>MAX(0,D220*1000/'01_Số liệu gốc'!$B$8)</f>
        <v>35934.575914538167</v>
      </c>
      <c r="H221" s="18">
        <f>MAX(0,H220*1000/'01_Số liệu gốc'!$B$8)</f>
        <v>27130.765334580294</v>
      </c>
      <c r="I221" s="18">
        <f>MAX(0,I220*1000/'01_Số liệu gốc'!$B$8)</f>
        <v>28084.694245954517</v>
      </c>
      <c r="J221" s="18">
        <f>MAX(0,J220*1000/'01_Số liệu gốc'!$B$8)</f>
        <v>26950.166607345192</v>
      </c>
      <c r="K221" s="18">
        <f>MAX(0,K220*1000/'01_Số liệu gốc'!$B$8)</f>
        <v>25281.453671746076</v>
      </c>
      <c r="L221" s="18">
        <f>MAX(0,L220*1000/'01_Số liệu gốc'!$B$8)</f>
        <v>25956.599199447453</v>
      </c>
      <c r="M221" s="18">
        <f>MAX(0,M220*1000/'01_Số liệu gốc'!$B$8)</f>
        <v>26639.959512988302</v>
      </c>
      <c r="N221" s="18">
        <f>MAX(0,N220*1000/'01_Số liệu gốc'!$B$8)</f>
        <v>27130.765334580294</v>
      </c>
      <c r="O221" s="18">
        <f>MAX(0,O220*1000/'01_Số liệu gốc'!$B$8)</f>
        <v>27130.765334580294</v>
      </c>
      <c r="P221" s="18">
        <f>MAX(0,P220*1000/'01_Số liệu gốc'!$B$8)</f>
        <v>25366.656375749339</v>
      </c>
      <c r="Q221" s="18">
        <f>MAX(0,Q220*1000/'01_Số liệu gốc'!$B$8)</f>
        <v>28751.042985748598</v>
      </c>
      <c r="R221" s="18">
        <f>MAX(0,R220*1000/'01_Số liệu gốc'!$B$8)</f>
        <v>26408.763488886339</v>
      </c>
      <c r="S221" s="18">
        <f>MAX(0,S220*1000/'01_Số liệu gốc'!$B$8)</f>
        <v>25851.427990324279</v>
      </c>
      <c r="T221" s="18">
        <f>MAX(0,T220*1000/'01_Số liệu gốc'!$B$8)</f>
        <v>32072.205826769143</v>
      </c>
      <c r="U221" s="18">
        <f>MAX(0,U220*1000/'01_Số liệu gốc'!$B$8)</f>
        <v>28380.57512304675</v>
      </c>
      <c r="V221" s="18">
        <f>MAX(0,V220*1000/'01_Số liệu gốc'!$B$8)</f>
        <v>27130.765334580294</v>
      </c>
      <c r="W221" s="18">
        <f>MAX(0,W220*1000/'01_Số liệu gốc'!$B$8)</f>
        <v>27286.831002693296</v>
      </c>
    </row>
    <row r="223" spans="1:23" x14ac:dyDescent="0.3">
      <c r="A223" s="51" t="s">
        <v>506</v>
      </c>
      <c r="B223" s="52"/>
      <c r="C223" s="52"/>
      <c r="D223" s="52"/>
      <c r="E223" s="52"/>
      <c r="F223" s="52"/>
      <c r="G223" s="52"/>
      <c r="H223" s="52"/>
      <c r="I223" s="52"/>
      <c r="J223" s="52"/>
      <c r="K223" s="52"/>
      <c r="L223" s="52"/>
      <c r="M223" s="52"/>
      <c r="N223" s="52"/>
      <c r="O223" s="52"/>
      <c r="P223" s="52"/>
      <c r="Q223" s="52"/>
      <c r="R223" s="52"/>
      <c r="S223" s="52"/>
      <c r="T223" s="52"/>
      <c r="U223" s="52"/>
      <c r="V223" s="52"/>
      <c r="W223" s="52"/>
    </row>
    <row r="224" spans="1:23" x14ac:dyDescent="0.3">
      <c r="A224" s="14" t="s">
        <v>507</v>
      </c>
      <c r="B224" s="43">
        <f>B60*B13</f>
        <v>1434.3591939633343</v>
      </c>
      <c r="C224" s="43">
        <f>C60*C13</f>
        <v>1885.5735569137146</v>
      </c>
      <c r="D224" s="43">
        <f>D60*D13</f>
        <v>2343.3879198640934</v>
      </c>
      <c r="H224" s="43">
        <f t="shared" ref="H224:V224" si="267">H60*H13</f>
        <v>1885.5735569137146</v>
      </c>
      <c r="I224" s="43">
        <f t="shared" si="267"/>
        <v>1885.5735569137146</v>
      </c>
      <c r="J224" s="43">
        <f t="shared" si="267"/>
        <v>1885.5735569137146</v>
      </c>
      <c r="K224" s="43">
        <f t="shared" si="267"/>
        <v>1885.5735569137146</v>
      </c>
      <c r="L224" s="43">
        <f t="shared" si="267"/>
        <v>1885.5735569137146</v>
      </c>
      <c r="M224" s="43">
        <f t="shared" si="267"/>
        <v>1885.5735569137146</v>
      </c>
      <c r="N224" s="43">
        <f t="shared" si="267"/>
        <v>1885.5735569137146</v>
      </c>
      <c r="O224" s="43">
        <f t="shared" si="267"/>
        <v>1885.5735569137146</v>
      </c>
      <c r="P224" s="43">
        <f t="shared" si="267"/>
        <v>1740.7782889591997</v>
      </c>
      <c r="Q224" s="43">
        <f t="shared" si="267"/>
        <v>2018.5633790486793</v>
      </c>
      <c r="R224" s="43">
        <f t="shared" si="267"/>
        <v>1826.312789494797</v>
      </c>
      <c r="S224" s="43">
        <f t="shared" si="267"/>
        <v>1885.5735569137146</v>
      </c>
      <c r="T224" s="43">
        <f t="shared" si="267"/>
        <v>1885.5735569137146</v>
      </c>
      <c r="U224" s="43">
        <f t="shared" si="267"/>
        <v>1988.1559639171342</v>
      </c>
      <c r="V224" s="43">
        <f t="shared" si="267"/>
        <v>1885.5735569137146</v>
      </c>
      <c r="W224" s="43">
        <f t="shared" ref="W224" si="268">W60*W13</f>
        <v>1898.383179652606</v>
      </c>
    </row>
    <row r="225" spans="1:23" x14ac:dyDescent="0.3">
      <c r="A225" s="9" t="s">
        <v>813</v>
      </c>
      <c r="B225" s="67">
        <f>B224+(B214-B216)*(1-'02_Giả định'!$B$26)+B207</f>
        <v>1855.5637754926697</v>
      </c>
      <c r="C225" s="67">
        <f>C224+(C214-C216)*(1-'02_Giả định'!$B$26)+C207</f>
        <v>2970.1417874973663</v>
      </c>
      <c r="D225" s="67">
        <f>D224+(D214-D216)*(1-'02_Giả định'!$B$26)+D207</f>
        <v>3782.8208289145214</v>
      </c>
      <c r="H225" s="67">
        <f>H224+(H214-H216)*(1-'02_Giả định'!$B$26)+H207</f>
        <v>2970.1417874973663</v>
      </c>
      <c r="I225" s="67">
        <f>I224+(I214-I216)*(1-'02_Giả định'!$B$26)+I207</f>
        <v>3075.0739677485312</v>
      </c>
      <c r="J225" s="67">
        <f>J224+(J214-J216)*(1-'02_Giả định'!$B$26)+J207</f>
        <v>2950.2759275015051</v>
      </c>
      <c r="K225" s="67">
        <f>K224+(K214-K216)*(1-'02_Giả định'!$B$26)+K207</f>
        <v>2766.7175045856025</v>
      </c>
      <c r="L225" s="67">
        <f>L224+(L214-L216)*(1-'02_Giả định'!$B$26)+L207</f>
        <v>2840.9835126327544</v>
      </c>
      <c r="M225" s="67">
        <f>M224+(M214-M216)*(1-'02_Giả định'!$B$26)+M207</f>
        <v>2916.153147122247</v>
      </c>
      <c r="N225" s="67">
        <f>N224+(N214-N216)*(1-'02_Giả định'!$B$26)+N207</f>
        <v>2970.1417874973663</v>
      </c>
      <c r="O225" s="67">
        <f>O224+(O214-O216)*(1-'02_Giả định'!$B$26)+O207</f>
        <v>2970.1417874973663</v>
      </c>
      <c r="P225" s="67">
        <f>P224+(P214-P216)*(1-'02_Giả định'!$B$26)+P207</f>
        <v>2825.3465195428516</v>
      </c>
      <c r="Q225" s="67">
        <f>Q224+(Q214-Q216)*(1-'02_Giả định'!$B$26)+Q207</f>
        <v>3103.1316096323312</v>
      </c>
      <c r="R225" s="67">
        <f>R224+(R214-R216)*(1-'02_Giả định'!$B$26)+R207</f>
        <v>2910.8810200784487</v>
      </c>
      <c r="S225" s="67">
        <f>S224+(S214-S216)*(1-'02_Giả định'!$B$26)+S207</f>
        <v>2970.1417874973663</v>
      </c>
      <c r="T225" s="67">
        <f>T224+(T214-T216)*(1-'02_Giả định'!$B$26)+T207</f>
        <v>2970.1417874973663</v>
      </c>
      <c r="U225" s="67">
        <f>U224+(U214-U216)*(1-'02_Giả định'!$B$26)+U207</f>
        <v>3072.7241945007859</v>
      </c>
      <c r="V225" s="67">
        <f>V224+(V214-V216)*(1-'02_Giả định'!$B$26)+V207</f>
        <v>2970.1417874973663</v>
      </c>
      <c r="W225" s="67">
        <f>W224+(W214-W216)*(1-'02_Giả định'!$B$26)+W207</f>
        <v>2982.9514102362577</v>
      </c>
    </row>
    <row r="226" spans="1:23" x14ac:dyDescent="0.3">
      <c r="A226" s="9" t="s">
        <v>508</v>
      </c>
      <c r="B226" s="18">
        <f>MAX(0,B225*1000/'01_Số liệu gốc'!$B$8)</f>
        <v>16868.761595387907</v>
      </c>
      <c r="C226" s="18">
        <f>MAX(0,C225*1000/'01_Số liệu gốc'!$B$8)</f>
        <v>27001.288977248783</v>
      </c>
      <c r="D226" s="18">
        <f>MAX(0,D225*1000/'01_Số liệu gốc'!$B$8)</f>
        <v>34389.280262859284</v>
      </c>
      <c r="H226" s="18">
        <f>MAX(0,H225*1000/'01_Số liệu gốc'!$B$8)</f>
        <v>27001.288977248783</v>
      </c>
      <c r="I226" s="18">
        <f>MAX(0,I225*1000/'01_Số liệu gốc'!$B$8)</f>
        <v>27955.21788862301</v>
      </c>
      <c r="J226" s="18">
        <f>MAX(0,J225*1000/'01_Số liệu gốc'!$B$8)</f>
        <v>26820.690250013686</v>
      </c>
      <c r="K226" s="18">
        <f>MAX(0,K225*1000/'01_Số liệu gốc'!$B$8)</f>
        <v>25151.977314414566</v>
      </c>
      <c r="L226" s="18">
        <f>MAX(0,L225*1000/'01_Số liệu gốc'!$B$8)</f>
        <v>25827.122842115947</v>
      </c>
      <c r="M226" s="18">
        <f>MAX(0,M225*1000/'01_Số liệu gốc'!$B$8)</f>
        <v>26510.483155656791</v>
      </c>
      <c r="N226" s="18">
        <f>MAX(0,N225*1000/'01_Số liệu gốc'!$B$8)</f>
        <v>27001.288977248783</v>
      </c>
      <c r="O226" s="18">
        <f>MAX(0,O225*1000/'01_Số liệu gốc'!$B$8)</f>
        <v>27001.288977248783</v>
      </c>
      <c r="P226" s="18">
        <f>MAX(0,P225*1000/'01_Số liệu gốc'!$B$8)</f>
        <v>25684.968359480466</v>
      </c>
      <c r="Q226" s="18">
        <f>MAX(0,Q225*1000/'01_Số liệu gốc'!$B$8)</f>
        <v>28210.287360293922</v>
      </c>
      <c r="R226" s="18">
        <f>MAX(0,R225*1000/'01_Số liệu gốc'!$B$8)</f>
        <v>26462.554727985895</v>
      </c>
      <c r="S226" s="18">
        <f>MAX(0,S225*1000/'01_Số liệu gốc'!$B$8)</f>
        <v>27001.288977248783</v>
      </c>
      <c r="T226" s="18">
        <f>MAX(0,T225*1000/'01_Số liệu gốc'!$B$8)</f>
        <v>27001.288977248783</v>
      </c>
      <c r="U226" s="18">
        <f>MAX(0,U225*1000/'01_Số liệu gốc'!$B$8)</f>
        <v>27933.856313643508</v>
      </c>
      <c r="V226" s="18">
        <f>MAX(0,V225*1000/'01_Số liệu gốc'!$B$8)</f>
        <v>27001.288977248783</v>
      </c>
      <c r="W226" s="18">
        <f>MAX(0,W225*1000/'01_Số liệu gốc'!$B$8)</f>
        <v>27117.740093056887</v>
      </c>
    </row>
    <row r="228" spans="1:23" x14ac:dyDescent="0.3">
      <c r="A228" s="51" t="s">
        <v>509</v>
      </c>
      <c r="B228" s="52"/>
      <c r="C228" s="52"/>
      <c r="D228" s="52"/>
      <c r="E228" s="52"/>
      <c r="F228" s="52"/>
      <c r="G228" s="52"/>
      <c r="H228" s="52"/>
      <c r="I228" s="52"/>
      <c r="J228" s="52"/>
      <c r="K228" s="52"/>
      <c r="L228" s="52"/>
      <c r="M228" s="52"/>
      <c r="N228" s="52"/>
      <c r="O228" s="52"/>
      <c r="P228" s="52"/>
      <c r="Q228" s="52"/>
      <c r="R228" s="52"/>
      <c r="S228" s="52"/>
      <c r="T228" s="52"/>
      <c r="U228" s="52"/>
      <c r="V228" s="52"/>
      <c r="W228" s="52"/>
    </row>
    <row r="229" spans="1:23" x14ac:dyDescent="0.3">
      <c r="A229" s="14" t="s">
        <v>68</v>
      </c>
      <c r="B229" s="72">
        <f>(B14*(1-B36)-B35)/(B44-B35)</f>
        <v>0.674854085603113</v>
      </c>
      <c r="C229" s="72">
        <f>(C14*(1-C36)-C35)/(C44-C35)</f>
        <v>0.8937256809338523</v>
      </c>
      <c r="D229" s="72">
        <f>(D14*(1-D36)-D35)/(D44-D35)</f>
        <v>1.1673151750972768</v>
      </c>
      <c r="H229" s="72">
        <f t="shared" ref="H229:V229" si="269">(H14*(1-H36)-H35)/(H44-H35)</f>
        <v>0.8937256809338523</v>
      </c>
      <c r="I229" s="72">
        <f t="shared" si="269"/>
        <v>0.8937256809338523</v>
      </c>
      <c r="J229" s="72">
        <f t="shared" si="269"/>
        <v>0.8937256809338523</v>
      </c>
      <c r="K229" s="72">
        <f t="shared" si="269"/>
        <v>0.8937256809338523</v>
      </c>
      <c r="L229" s="72">
        <f t="shared" si="269"/>
        <v>0.8937256809338523</v>
      </c>
      <c r="M229" s="72">
        <f t="shared" si="269"/>
        <v>0.83522727272727293</v>
      </c>
      <c r="N229" s="72">
        <f t="shared" si="269"/>
        <v>0.78025477707006385</v>
      </c>
      <c r="O229" s="72">
        <f t="shared" si="269"/>
        <v>0.8937256809338523</v>
      </c>
      <c r="P229" s="72">
        <f t="shared" si="269"/>
        <v>0.8937256809338523</v>
      </c>
      <c r="Q229" s="72">
        <f t="shared" si="269"/>
        <v>0.8937256809338523</v>
      </c>
      <c r="R229" s="72">
        <f t="shared" si="269"/>
        <v>0.8937256809338523</v>
      </c>
      <c r="S229" s="72">
        <f t="shared" si="269"/>
        <v>0.8937256809338523</v>
      </c>
      <c r="T229" s="72">
        <f t="shared" si="269"/>
        <v>0.8937256809338523</v>
      </c>
      <c r="U229" s="72">
        <f t="shared" si="269"/>
        <v>0.8937256809338523</v>
      </c>
      <c r="V229" s="72">
        <f t="shared" si="269"/>
        <v>0.96965699208443279</v>
      </c>
      <c r="W229" s="72">
        <f t="shared" ref="W229" si="270">(W14*(1-W36)-W35)/(W44-W35)</f>
        <v>0.8937256809338523</v>
      </c>
    </row>
    <row r="230" spans="1:23" x14ac:dyDescent="0.3">
      <c r="A230" s="9" t="s">
        <v>510</v>
      </c>
      <c r="B230" s="18">
        <f>MAX(0,B229*'01_Số liệu gốc'!$C$74)</f>
        <v>14239.967224531309</v>
      </c>
      <c r="C230" s="18">
        <f>MAX(0,C229*'01_Số liệu gốc'!$C$74)</f>
        <v>18858.334973027948</v>
      </c>
      <c r="D230" s="18">
        <f>MAX(0,D229*'01_Số liệu gốc'!$C$74)</f>
        <v>24631.294658648752</v>
      </c>
      <c r="F230" s="38" t="s">
        <v>511</v>
      </c>
      <c r="H230" s="18">
        <f>MAX(0,H229*'01_Số liệu gốc'!$C$74)</f>
        <v>18858.334973027948</v>
      </c>
      <c r="I230" s="18">
        <f>MAX(0,I229*'01_Số liệu gốc'!$C$74)</f>
        <v>18858.334973027948</v>
      </c>
      <c r="J230" s="18">
        <f>MAX(0,J229*'01_Số liệu gốc'!$C$74)</f>
        <v>18858.334973027948</v>
      </c>
      <c r="K230" s="18">
        <f>MAX(0,K229*'01_Số liệu gốc'!$C$74)</f>
        <v>18858.334973027948</v>
      </c>
      <c r="L230" s="18">
        <f>MAX(0,L229*'01_Số liệu gốc'!$C$74)</f>
        <v>18858.334973027948</v>
      </c>
      <c r="M230" s="18">
        <f>MAX(0,M229*'01_Số liệu gốc'!$C$74)</f>
        <v>17623.971229338847</v>
      </c>
      <c r="N230" s="18">
        <f>MAX(0,N229*'01_Số liệu gốc'!$C$74)</f>
        <v>16464.007093225249</v>
      </c>
      <c r="O230" s="18">
        <f>MAX(0,O229*'01_Số liệu gốc'!$C$74)</f>
        <v>18858.334973027948</v>
      </c>
      <c r="P230" s="18">
        <f>MAX(0,P229*'01_Số liệu gốc'!$C$74)</f>
        <v>18858.334973027948</v>
      </c>
      <c r="Q230" s="18">
        <f>MAX(0,Q229*'01_Số liệu gốc'!$C$74)</f>
        <v>18858.334973027948</v>
      </c>
      <c r="R230" s="18">
        <f>MAX(0,R229*'01_Số liệu gốc'!$C$74)</f>
        <v>18858.334973027948</v>
      </c>
      <c r="S230" s="18">
        <f>MAX(0,S229*'01_Số liệu gốc'!$C$74)</f>
        <v>18858.334973027948</v>
      </c>
      <c r="T230" s="18">
        <f>MAX(0,T229*'01_Số liệu gốc'!$C$74)</f>
        <v>18858.334973027948</v>
      </c>
      <c r="U230" s="18">
        <f>MAX(0,U229*'01_Số liệu gốc'!$C$74)</f>
        <v>18858.334973027948</v>
      </c>
      <c r="V230" s="18">
        <f>MAX(0,V229*'01_Số liệu gốc'!$C$74)</f>
        <v>20460.547073638762</v>
      </c>
      <c r="W230" s="18">
        <f>MAX(0,W229*'01_Số liệu gốc'!$C$74)</f>
        <v>18858.334973027948</v>
      </c>
    </row>
    <row r="232" spans="1:23" x14ac:dyDescent="0.3">
      <c r="A232" s="51" t="s">
        <v>815</v>
      </c>
      <c r="B232" s="52"/>
      <c r="C232" s="52"/>
      <c r="D232" s="52"/>
      <c r="E232" s="52"/>
      <c r="F232" s="52"/>
      <c r="G232" s="52"/>
      <c r="H232" s="52"/>
      <c r="I232" s="52"/>
      <c r="J232" s="52"/>
      <c r="K232" s="52"/>
      <c r="L232" s="52"/>
      <c r="M232" s="52"/>
      <c r="N232" s="52"/>
      <c r="O232" s="52"/>
      <c r="P232" s="52"/>
      <c r="Q232" s="52"/>
      <c r="R232" s="52"/>
      <c r="S232" s="52"/>
      <c r="T232" s="52"/>
      <c r="U232" s="52"/>
      <c r="V232" s="52"/>
      <c r="W232" s="52"/>
    </row>
    <row r="233" spans="1:23" x14ac:dyDescent="0.3">
      <c r="A233" s="14" t="s">
        <v>512</v>
      </c>
      <c r="B233" s="43">
        <f>B178*(1+B35)</f>
        <v>132.65073296094664</v>
      </c>
      <c r="C233" s="43">
        <f>C178*(1+C35)</f>
        <v>219.05619972218341</v>
      </c>
      <c r="D233" s="43">
        <f>D178*(1+D35)</f>
        <v>314.90146513368438</v>
      </c>
      <c r="H233" s="43">
        <f t="shared" ref="H233:V233" si="271">H178*(1+H35)</f>
        <v>219.05619972218341</v>
      </c>
      <c r="I233" s="43">
        <f t="shared" si="271"/>
        <v>219.05619972218341</v>
      </c>
      <c r="J233" s="43">
        <f t="shared" si="271"/>
        <v>219.05619972218341</v>
      </c>
      <c r="K233" s="43">
        <f t="shared" si="271"/>
        <v>219.05619972218341</v>
      </c>
      <c r="L233" s="43">
        <f t="shared" si="271"/>
        <v>219.05619972218341</v>
      </c>
      <c r="M233" s="43">
        <f t="shared" si="271"/>
        <v>219.05619972218341</v>
      </c>
      <c r="N233" s="43">
        <f t="shared" si="271"/>
        <v>219.05619972218341</v>
      </c>
      <c r="O233" s="43">
        <f t="shared" si="271"/>
        <v>219.05619972218341</v>
      </c>
      <c r="P233" s="43">
        <f t="shared" si="271"/>
        <v>195.9122248432287</v>
      </c>
      <c r="Q233" s="43">
        <f t="shared" si="271"/>
        <v>240.31320035576206</v>
      </c>
      <c r="R233" s="43">
        <f t="shared" si="271"/>
        <v>209.58399989254642</v>
      </c>
      <c r="S233" s="43">
        <f t="shared" si="271"/>
        <v>219.05619972218341</v>
      </c>
      <c r="T233" s="43">
        <f t="shared" si="271"/>
        <v>219.05619972218341</v>
      </c>
      <c r="U233" s="43">
        <f t="shared" si="271"/>
        <v>235.45290027910806</v>
      </c>
      <c r="V233" s="43">
        <f t="shared" si="271"/>
        <v>219.05619972218341</v>
      </c>
      <c r="W233" s="43">
        <f t="shared" ref="W233" si="272">W178*(1+W35)</f>
        <v>224.86814195124069</v>
      </c>
    </row>
    <row r="234" spans="1:23" x14ac:dyDescent="0.3">
      <c r="A234" s="14" t="s">
        <v>816</v>
      </c>
      <c r="B234" s="95">
        <f>B50</f>
        <v>0.17100000000000001</v>
      </c>
      <c r="C234" s="95">
        <f>C50</f>
        <v>0.17100000000000001</v>
      </c>
      <c r="D234" s="95">
        <f>D50</f>
        <v>0.17100000000000001</v>
      </c>
      <c r="E234" s="91"/>
      <c r="F234" s="91" t="s">
        <v>819</v>
      </c>
      <c r="G234" s="91"/>
      <c r="H234" s="95">
        <f t="shared" ref="H234:W234" si="273">H50</f>
        <v>0.17100000000000001</v>
      </c>
      <c r="I234" s="95">
        <f t="shared" si="273"/>
        <v>0.17100000000000001</v>
      </c>
      <c r="J234" s="95">
        <f t="shared" si="273"/>
        <v>0.17100000000000001</v>
      </c>
      <c r="K234" s="95">
        <f t="shared" si="273"/>
        <v>0.17100000000000001</v>
      </c>
      <c r="L234" s="95">
        <f t="shared" si="273"/>
        <v>0.17100000000000001</v>
      </c>
      <c r="M234" s="95">
        <f t="shared" si="273"/>
        <v>0.17100000000000001</v>
      </c>
      <c r="N234" s="95">
        <f t="shared" si="273"/>
        <v>0.17100000000000001</v>
      </c>
      <c r="O234" s="95">
        <f t="shared" si="273"/>
        <v>0.17100000000000001</v>
      </c>
      <c r="P234" s="95">
        <f t="shared" si="273"/>
        <v>0.17100000000000001</v>
      </c>
      <c r="Q234" s="95">
        <f t="shared" si="273"/>
        <v>0.17100000000000001</v>
      </c>
      <c r="R234" s="95">
        <f t="shared" si="273"/>
        <v>0.17100000000000001</v>
      </c>
      <c r="S234" s="95">
        <f t="shared" si="273"/>
        <v>0.17100000000000001</v>
      </c>
      <c r="T234" s="95">
        <f t="shared" si="273"/>
        <v>0.17100000000000001</v>
      </c>
      <c r="U234" s="95">
        <f t="shared" si="273"/>
        <v>0.17100000000000001</v>
      </c>
      <c r="V234" s="95">
        <f t="shared" si="273"/>
        <v>0.17100000000000001</v>
      </c>
      <c r="W234" s="95">
        <f t="shared" si="273"/>
        <v>0.17100000000000001</v>
      </c>
    </row>
    <row r="235" spans="1:23" x14ac:dyDescent="0.3">
      <c r="A235" s="14" t="s">
        <v>817</v>
      </c>
      <c r="B235" s="43">
        <f>B233*(1-B35/B234-B36)/(B44-B35)</f>
        <v>1168.6965132618047</v>
      </c>
      <c r="C235" s="43">
        <f>C233*(1-C35/C234-C36)/(C44-C35)</f>
        <v>1929.9570466683253</v>
      </c>
      <c r="D235" s="43">
        <f>D233*(1-D35/D234-D36)/(D44-D35)</f>
        <v>2774.3853057421084</v>
      </c>
      <c r="H235" s="43">
        <f t="shared" ref="H235:W235" si="274">H233*(1-H35/H234-H36)/(H44-H35)</f>
        <v>1929.9570466683253</v>
      </c>
      <c r="I235" s="43">
        <f t="shared" si="274"/>
        <v>1929.9570466683253</v>
      </c>
      <c r="J235" s="43">
        <f t="shared" si="274"/>
        <v>1929.9570466683253</v>
      </c>
      <c r="K235" s="43">
        <f t="shared" si="274"/>
        <v>1929.9570466683253</v>
      </c>
      <c r="L235" s="43">
        <f t="shared" si="274"/>
        <v>1929.9570466683253</v>
      </c>
      <c r="M235" s="43">
        <f t="shared" si="274"/>
        <v>1803.6325854318532</v>
      </c>
      <c r="N235" s="43">
        <f t="shared" si="274"/>
        <v>1684.9221604883553</v>
      </c>
      <c r="O235" s="43">
        <f t="shared" si="274"/>
        <v>1929.9570466683253</v>
      </c>
      <c r="P235" s="43">
        <f t="shared" si="274"/>
        <v>1726.0510286592403</v>
      </c>
      <c r="Q235" s="43">
        <f t="shared" si="274"/>
        <v>2117.2382019875449</v>
      </c>
      <c r="R235" s="43">
        <f t="shared" si="274"/>
        <v>1846.50385597186</v>
      </c>
      <c r="S235" s="43">
        <f t="shared" si="274"/>
        <v>1929.9570466683253</v>
      </c>
      <c r="T235" s="43">
        <f t="shared" si="274"/>
        <v>1929.9570466683253</v>
      </c>
      <c r="U235" s="43">
        <f t="shared" si="274"/>
        <v>2074.4173624324112</v>
      </c>
      <c r="V235" s="43">
        <f t="shared" si="274"/>
        <v>2093.9270121108584</v>
      </c>
      <c r="W235" s="43">
        <f t="shared" si="274"/>
        <v>1981.1621660578883</v>
      </c>
    </row>
    <row r="236" spans="1:23" x14ac:dyDescent="0.3">
      <c r="A236" s="9" t="s">
        <v>818</v>
      </c>
      <c r="B236" s="67">
        <f>B85+B109+B133+B157+B181+B235/(1+B44)^4.5</f>
        <v>1182.0749253729828</v>
      </c>
      <c r="C236" s="67">
        <f>C85+C109+C133+C157+C181+C235/(1+C44)^4.5</f>
        <v>1851.7450085000096</v>
      </c>
      <c r="D236" s="67">
        <f>D85+D109+D133+D157+D181+D235/(1+D44)^4.5</f>
        <v>2592.919486001002</v>
      </c>
      <c r="H236" s="67">
        <f t="shared" ref="H236:W236" si="275">H85+H109+H133+H157+H181+H235/(1+H44)^4.5</f>
        <v>1851.7450085000096</v>
      </c>
      <c r="I236" s="67">
        <f t="shared" si="275"/>
        <v>1851.7450085000096</v>
      </c>
      <c r="J236" s="67">
        <f t="shared" si="275"/>
        <v>1851.7450085000096</v>
      </c>
      <c r="K236" s="67">
        <f t="shared" si="275"/>
        <v>1851.7450085000096</v>
      </c>
      <c r="L236" s="67">
        <f t="shared" si="275"/>
        <v>1851.7450085000096</v>
      </c>
      <c r="M236" s="67">
        <f t="shared" si="275"/>
        <v>1739.9418420721126</v>
      </c>
      <c r="N236" s="67">
        <f t="shared" si="275"/>
        <v>1634.7386782081362</v>
      </c>
      <c r="O236" s="67">
        <f t="shared" si="275"/>
        <v>1851.7450085000096</v>
      </c>
      <c r="P236" s="67">
        <f t="shared" si="275"/>
        <v>1667.1739384931777</v>
      </c>
      <c r="Q236" s="67">
        <f t="shared" si="275"/>
        <v>2021.2676325347934</v>
      </c>
      <c r="R236" s="67">
        <f t="shared" si="275"/>
        <v>1769.9623321316969</v>
      </c>
      <c r="S236" s="67">
        <f t="shared" si="275"/>
        <v>1851.7450085000096</v>
      </c>
      <c r="T236" s="67">
        <f t="shared" si="275"/>
        <v>1851.7450085000096</v>
      </c>
      <c r="U236" s="67">
        <f t="shared" si="275"/>
        <v>1993.3136070592836</v>
      </c>
      <c r="V236" s="67">
        <f t="shared" si="275"/>
        <v>1996.6774460629958</v>
      </c>
      <c r="W236" s="67">
        <f t="shared" si="275"/>
        <v>1895.5788385889684</v>
      </c>
    </row>
    <row r="237" spans="1:23" x14ac:dyDescent="0.3">
      <c r="A237" s="14" t="s">
        <v>513</v>
      </c>
      <c r="B237" s="60">
        <f>IF(B236&lt;=0,"–",B235/(1+B44)^4.5/B236)</f>
        <v>0.61258089699869678</v>
      </c>
      <c r="C237" s="60">
        <f>IF(C236&lt;=0,"–",C235/(1+C44)^4.5/C236)</f>
        <v>0.64576301345140452</v>
      </c>
      <c r="D237" s="60">
        <f>IF(D236&lt;=0,"–",D235/(1+D44)^4.5/D236)</f>
        <v>0.66295561032287609</v>
      </c>
      <c r="F237" s="38" t="s">
        <v>930</v>
      </c>
      <c r="H237" s="60">
        <f t="shared" ref="H237:W237" si="276">IF(H236&lt;=0,"–",H235/(1+H44)^4.5/H236)</f>
        <v>0.64576301345140452</v>
      </c>
      <c r="I237" s="60">
        <f t="shared" si="276"/>
        <v>0.64576301345140452</v>
      </c>
      <c r="J237" s="60">
        <f t="shared" si="276"/>
        <v>0.64576301345140452</v>
      </c>
      <c r="K237" s="60">
        <f t="shared" si="276"/>
        <v>0.64576301345140452</v>
      </c>
      <c r="L237" s="60">
        <f t="shared" si="276"/>
        <v>0.64576301345140452</v>
      </c>
      <c r="M237" s="60">
        <f t="shared" si="276"/>
        <v>0.62751660850844559</v>
      </c>
      <c r="N237" s="60">
        <f t="shared" si="276"/>
        <v>0.60860482307153418</v>
      </c>
      <c r="O237" s="60">
        <f t="shared" si="276"/>
        <v>0.64576301345140452</v>
      </c>
      <c r="P237" s="60">
        <f t="shared" si="276"/>
        <v>0.64147454054681197</v>
      </c>
      <c r="Q237" s="60">
        <f t="shared" si="276"/>
        <v>0.6490118195962975</v>
      </c>
      <c r="R237" s="60">
        <f t="shared" si="276"/>
        <v>0.64638742816550954</v>
      </c>
      <c r="S237" s="60">
        <f t="shared" si="276"/>
        <v>0.64576301345140452</v>
      </c>
      <c r="T237" s="60">
        <f t="shared" si="276"/>
        <v>0.64576301345140452</v>
      </c>
      <c r="U237" s="60">
        <f t="shared" si="276"/>
        <v>0.64480324353075369</v>
      </c>
      <c r="V237" s="60">
        <f t="shared" si="276"/>
        <v>0.66697413417058349</v>
      </c>
      <c r="W237" s="60">
        <f t="shared" si="276"/>
        <v>0.64756725505178936</v>
      </c>
    </row>
    <row r="238" spans="1:23" x14ac:dyDescent="0.3">
      <c r="A238" s="9" t="s">
        <v>814</v>
      </c>
      <c r="B238" s="67">
        <f>B236+(B214-B216)*(1-'02_Giả định'!$B$26)+B207</f>
        <v>1603.2795069023182</v>
      </c>
      <c r="C238" s="67">
        <f>C236+(C214-C216)*(1-'02_Giả định'!$B$26)+C207</f>
        <v>2936.3132390836613</v>
      </c>
      <c r="D238" s="67">
        <f>D236+(D214-D216)*(1-'02_Giả định'!$B$26)+D207</f>
        <v>4032.35239505143</v>
      </c>
      <c r="H238" s="67">
        <f>H236+(H214-H216)*(1-'02_Giả định'!$B$26)+H207</f>
        <v>2936.3132390836613</v>
      </c>
      <c r="I238" s="67">
        <f>I236+(I214-I216)*(1-'02_Giả định'!$B$26)+I207</f>
        <v>3041.2454193348262</v>
      </c>
      <c r="J238" s="67">
        <f>J236+(J214-J216)*(1-'02_Giả định'!$B$26)+J207</f>
        <v>2916.4473790878001</v>
      </c>
      <c r="K238" s="67">
        <f>K236+(K214-K216)*(1-'02_Giả định'!$B$26)+K207</f>
        <v>2732.8889561718975</v>
      </c>
      <c r="L238" s="67">
        <f>L236+(L214-L216)*(1-'02_Giả định'!$B$26)+L207</f>
        <v>2807.1549642190494</v>
      </c>
      <c r="M238" s="67">
        <f>M236+(M214-M216)*(1-'02_Giả định'!$B$26)+M207</f>
        <v>2770.5214322806451</v>
      </c>
      <c r="N238" s="67">
        <f>N236+(N214-N216)*(1-'02_Giả định'!$B$26)+N207</f>
        <v>2719.3069087917879</v>
      </c>
      <c r="O238" s="67">
        <f>O236+(O214-O216)*(1-'02_Giả định'!$B$26)+O207</f>
        <v>2936.3132390836613</v>
      </c>
      <c r="P238" s="67">
        <f>P236+(P214-P216)*(1-'02_Giả định'!$B$26)+P207</f>
        <v>2751.7421690768297</v>
      </c>
      <c r="Q238" s="67">
        <f>Q236+(Q214-Q216)*(1-'02_Giả định'!$B$26)+Q207</f>
        <v>3105.8358631184451</v>
      </c>
      <c r="R238" s="67">
        <f>R236+(R214-R216)*(1-'02_Giả định'!$B$26)+R207</f>
        <v>2854.5305627153489</v>
      </c>
      <c r="S238" s="67">
        <f>S236+(S214-S216)*(1-'02_Giả định'!$B$26)+S207</f>
        <v>2936.3132390836613</v>
      </c>
      <c r="T238" s="67">
        <f>T236+(T214-T216)*(1-'02_Giả định'!$B$26)+T207</f>
        <v>2936.3132390836613</v>
      </c>
      <c r="U238" s="67">
        <f>U236+(U214-U216)*(1-'02_Giả định'!$B$26)+U207</f>
        <v>3077.8818376429358</v>
      </c>
      <c r="V238" s="67">
        <f>V236+(V214-V216)*(1-'02_Giả định'!$B$26)+V207</f>
        <v>3081.245676646648</v>
      </c>
      <c r="W238" s="67">
        <f>W236+(W214-W216)*(1-'02_Giả định'!$B$26)+W207</f>
        <v>2980.1470691726204</v>
      </c>
    </row>
    <row r="239" spans="1:23" x14ac:dyDescent="0.3">
      <c r="A239" s="9" t="s">
        <v>514</v>
      </c>
      <c r="B239" s="18">
        <f>MAX(0,B238*1000/'01_Số liệu gốc'!$B$8)</f>
        <v>14575.268244566529</v>
      </c>
      <c r="C239" s="18">
        <f>MAX(0,C238*1000/'01_Số liệu gốc'!$B$8)</f>
        <v>26693.756718942375</v>
      </c>
      <c r="D239" s="18">
        <f>MAX(0,D238*1000/'01_Số liệu gốc'!$B$8)</f>
        <v>36657.749045922094</v>
      </c>
      <c r="H239" s="18">
        <f>MAX(0,H238*1000/'01_Số liệu gốc'!$B$8)</f>
        <v>26693.756718942375</v>
      </c>
      <c r="I239" s="18">
        <f>MAX(0,I238*1000/'01_Số liệu gốc'!$B$8)</f>
        <v>27647.685630316602</v>
      </c>
      <c r="J239" s="18">
        <f>MAX(0,J238*1000/'01_Số liệu gốc'!$B$8)</f>
        <v>26513.157991707274</v>
      </c>
      <c r="K239" s="18">
        <f>MAX(0,K238*1000/'01_Số liệu gốc'!$B$8)</f>
        <v>24844.445056108158</v>
      </c>
      <c r="L239" s="18">
        <f>MAX(0,L238*1000/'01_Số liệu gốc'!$B$8)</f>
        <v>25519.590583809542</v>
      </c>
      <c r="M239" s="18">
        <f>MAX(0,M238*1000/'01_Số liệu gốc'!$B$8)</f>
        <v>25186.558475278594</v>
      </c>
      <c r="N239" s="18">
        <f>MAX(0,N238*1000/'01_Số liệu gốc'!$B$8)</f>
        <v>24720.971898107164</v>
      </c>
      <c r="O239" s="18">
        <f>MAX(0,O238*1000/'01_Số liệu gốc'!$B$8)</f>
        <v>26693.756718942375</v>
      </c>
      <c r="P239" s="18">
        <f>MAX(0,P238*1000/'01_Số liệu gốc'!$B$8)</f>
        <v>25015.837900698451</v>
      </c>
      <c r="Q239" s="18">
        <f>MAX(0,Q238*1000/'01_Số liệu gốc'!$B$8)</f>
        <v>28234.871482894956</v>
      </c>
      <c r="R239" s="18">
        <f>MAX(0,R238*1000/'01_Số liệu gốc'!$B$8)</f>
        <v>25950.277842866806</v>
      </c>
      <c r="S239" s="18">
        <f>MAX(0,S238*1000/'01_Số liệu gốc'!$B$8)</f>
        <v>26693.756718942375</v>
      </c>
      <c r="T239" s="18">
        <f>MAX(0,T238*1000/'01_Số liệu gốc'!$B$8)</f>
        <v>26693.756718942375</v>
      </c>
      <c r="U239" s="18">
        <f>MAX(0,U238*1000/'01_Số liệu gốc'!$B$8)</f>
        <v>27980.743978572147</v>
      </c>
      <c r="V239" s="18">
        <f>MAX(0,V238*1000/'01_Số liệu gốc'!$B$8)</f>
        <v>28011.324333151344</v>
      </c>
      <c r="W239" s="18">
        <f>MAX(0,W238*1000/'01_Số liệu gốc'!$B$8)</f>
        <v>27092.246083387457</v>
      </c>
    </row>
    <row r="241" spans="1:23" x14ac:dyDescent="0.3">
      <c r="A241" s="51" t="s">
        <v>515</v>
      </c>
      <c r="B241" s="52"/>
      <c r="C241" s="52"/>
      <c r="D241" s="52"/>
      <c r="E241" s="52"/>
      <c r="F241" s="52"/>
      <c r="G241" s="52"/>
      <c r="H241" s="52"/>
      <c r="I241" s="52"/>
      <c r="J241" s="52"/>
      <c r="K241" s="52"/>
      <c r="L241" s="52"/>
      <c r="M241" s="52"/>
      <c r="N241" s="52"/>
      <c r="O241" s="52"/>
      <c r="P241" s="52"/>
      <c r="Q241" s="52"/>
      <c r="R241" s="52"/>
      <c r="S241" s="52"/>
      <c r="T241" s="52"/>
      <c r="U241" s="52"/>
      <c r="V241" s="52"/>
      <c r="W241" s="52"/>
    </row>
    <row r="242" spans="1:23" x14ac:dyDescent="0.3">
      <c r="A242" s="14" t="s">
        <v>516</v>
      </c>
      <c r="B242" s="27">
        <f>B39*'01_Số liệu gốc'!$B$8/1000/(1+B44)^(5/12)</f>
        <v>105.23090516675222</v>
      </c>
      <c r="C242" s="27">
        <f>C39*'01_Số liệu gốc'!$B$8/1000/(1+C44)^(5/12)</f>
        <v>105.23090516675222</v>
      </c>
      <c r="D242" s="27">
        <f>D39*'01_Số liệu gốc'!$B$8/1000/(1+D44)^(5/12)</f>
        <v>105.23090516675222</v>
      </c>
      <c r="F242" s="38" t="s">
        <v>931</v>
      </c>
      <c r="H242" s="27">
        <f>H39*'01_Số liệu gốc'!$B$8/1000/(1+H44)^(5/12)</f>
        <v>105.23090516675222</v>
      </c>
      <c r="I242" s="27">
        <f>I39*'01_Số liệu gốc'!$B$8/1000/(1+I44)^(5/12)</f>
        <v>105.23090516675222</v>
      </c>
      <c r="J242" s="27">
        <f>J39*'01_Số liệu gốc'!$B$8/1000/(1+J44)^(5/12)</f>
        <v>105.23090516675222</v>
      </c>
      <c r="K242" s="27">
        <f>K39*'01_Số liệu gốc'!$B$8/1000/(1+K44)^(5/12)</f>
        <v>105.23090516675222</v>
      </c>
      <c r="L242" s="27">
        <f>L39*'01_Số liệu gốc'!$B$8/1000/(1+L44)^(5/12)</f>
        <v>105.23090516675222</v>
      </c>
      <c r="M242" s="27">
        <f>M39*'01_Số liệu gốc'!$B$8/1000/(1+M44)^(5/12)</f>
        <v>105.00466660079677</v>
      </c>
      <c r="N242" s="27">
        <f>N39*'01_Số liệu gốc'!$B$8/1000/(1+N44)^(5/12)</f>
        <v>104.76298392075182</v>
      </c>
      <c r="O242" s="27">
        <f>O39*'01_Số liệu gốc'!$B$8/1000/(1+O44)^(5/12)</f>
        <v>105.23090516675222</v>
      </c>
      <c r="P242" s="27">
        <f>P39*'01_Số liệu gốc'!$B$8/1000/(1+P44)^(5/12)</f>
        <v>105.23090516675222</v>
      </c>
      <c r="Q242" s="27">
        <f>Q39*'01_Số liệu gốc'!$B$8/1000/(1+Q44)^(5/12)</f>
        <v>105.23090516675222</v>
      </c>
      <c r="R242" s="27">
        <f>R39*'01_Số liệu gốc'!$B$8/1000/(1+R44)^(5/12)</f>
        <v>105.23090516675222</v>
      </c>
      <c r="S242" s="27">
        <f>S39*'01_Số liệu gốc'!$B$8/1000/(1+S44)^(5/12)</f>
        <v>105.23090516675222</v>
      </c>
      <c r="T242" s="27">
        <f>T39*'01_Số liệu gốc'!$B$8/1000/(1+T44)^(5/12)</f>
        <v>105.23090516675222</v>
      </c>
      <c r="U242" s="27">
        <f>U39*'01_Số liệu gốc'!$B$8/1000/(1+U44)^(5/12)</f>
        <v>105.23090516675222</v>
      </c>
      <c r="V242" s="27">
        <f>V39*'01_Số liệu gốc'!$B$8/1000/(1+V44)^(5/12)</f>
        <v>105.48582597141554</v>
      </c>
      <c r="W242" s="27">
        <f>W39*'01_Số liệu gốc'!$B$8/1000/(1+W44)^(5/12)</f>
        <v>105.23090516675222</v>
      </c>
    </row>
    <row r="243" spans="1:23" x14ac:dyDescent="0.3">
      <c r="A243" s="14" t="s">
        <v>517</v>
      </c>
      <c r="B243" s="43">
        <f>(B178+B187)*(1+B35)+IF(B196&gt;0,B16,B38)*B196*(1-B37)</f>
        <v>157.89194518482944</v>
      </c>
      <c r="C243" s="43">
        <f>(C178+C187)*(1+C35)+IF(C196&gt;0,C16,C38)*C196*(1-C37)</f>
        <v>371.93042801155758</v>
      </c>
      <c r="D243" s="43">
        <f>(D178+D187)*(1+D35)+IF(D196&gt;0,D16,D38)*D196*(1-D37)</f>
        <v>522.97273125519746</v>
      </c>
      <c r="H243" s="43">
        <f t="shared" ref="H243:V243" si="277">(H178+H187)*(1+H35)+IF(H196&gt;0,H16,H38)*H196*(1-H37)</f>
        <v>371.93042801155758</v>
      </c>
      <c r="I243" s="43">
        <f t="shared" si="277"/>
        <v>359.94898012397783</v>
      </c>
      <c r="J243" s="43">
        <f t="shared" si="277"/>
        <v>382.85894792692091</v>
      </c>
      <c r="K243" s="43">
        <f t="shared" si="277"/>
        <v>331.67226351050823</v>
      </c>
      <c r="L243" s="43">
        <f t="shared" si="277"/>
        <v>346.369688645812</v>
      </c>
      <c r="M243" s="43">
        <f t="shared" si="277"/>
        <v>371.93042801155758</v>
      </c>
      <c r="N243" s="43">
        <f t="shared" si="277"/>
        <v>371.93042801155758</v>
      </c>
      <c r="O243" s="43">
        <f t="shared" si="277"/>
        <v>388.9629763835747</v>
      </c>
      <c r="P243" s="43">
        <f t="shared" si="277"/>
        <v>344.03181988612255</v>
      </c>
      <c r="Q243" s="43">
        <f t="shared" si="277"/>
        <v>397.55440719836531</v>
      </c>
      <c r="R243" s="43">
        <f t="shared" si="277"/>
        <v>360.04712288307047</v>
      </c>
      <c r="S243" s="43">
        <f t="shared" si="277"/>
        <v>371.93042801155758</v>
      </c>
      <c r="T243" s="43">
        <f t="shared" si="277"/>
        <v>371.93042801155758</v>
      </c>
      <c r="U243" s="43">
        <f t="shared" si="277"/>
        <v>392.50083397034297</v>
      </c>
      <c r="V243" s="43">
        <f t="shared" si="277"/>
        <v>371.93042801155758</v>
      </c>
      <c r="W243" s="43">
        <f t="shared" ref="W243" si="278">(W178+W187)*(1+W35)+IF(W196&gt;0,W16,W38)*W196*(1-W37)</f>
        <v>378.74034369732607</v>
      </c>
    </row>
    <row r="244" spans="1:23" x14ac:dyDescent="0.3">
      <c r="A244" s="14" t="s">
        <v>518</v>
      </c>
      <c r="B244" s="57">
        <f>B243*(1-B36)/B197</f>
        <v>5.4324848413489703E-2</v>
      </c>
      <c r="C244" s="57">
        <f>C243*(1-C36)/C197</f>
        <v>0.11417524608821432</v>
      </c>
      <c r="D244" s="57">
        <f>D243*(1-D36)/D197</f>
        <v>0.14827871670854315</v>
      </c>
      <c r="H244" s="57">
        <f t="shared" ref="H244:V244" si="279">H243*(1-H36)/H197</f>
        <v>0.11417524608821432</v>
      </c>
      <c r="I244" s="57">
        <f t="shared" si="279"/>
        <v>0.1102992524639007</v>
      </c>
      <c r="J244" s="57">
        <f t="shared" si="279"/>
        <v>0.11554733377509487</v>
      </c>
      <c r="K244" s="57">
        <f t="shared" si="279"/>
        <v>0.10690425795762802</v>
      </c>
      <c r="L244" s="57">
        <f t="shared" si="279"/>
        <v>0.1096414506352066</v>
      </c>
      <c r="M244" s="57">
        <f t="shared" si="279"/>
        <v>0.11417524608821432</v>
      </c>
      <c r="N244" s="57">
        <f t="shared" si="279"/>
        <v>0.11417524608821432</v>
      </c>
      <c r="O244" s="57">
        <f t="shared" si="279"/>
        <v>0.1081808771216745</v>
      </c>
      <c r="P244" s="57">
        <f t="shared" si="279"/>
        <v>0.10942408435270166</v>
      </c>
      <c r="Q244" s="57">
        <f t="shared" si="279"/>
        <v>0.11825634793351067</v>
      </c>
      <c r="R244" s="57">
        <f t="shared" si="279"/>
        <v>0.11217467602195791</v>
      </c>
      <c r="S244" s="57">
        <f t="shared" si="279"/>
        <v>0.11417524608821432</v>
      </c>
      <c r="T244" s="57">
        <f t="shared" si="279"/>
        <v>0.11417524608821432</v>
      </c>
      <c r="U244" s="57">
        <f t="shared" si="279"/>
        <v>0.11750285072266715</v>
      </c>
      <c r="V244" s="57">
        <f t="shared" si="279"/>
        <v>0.11417524608821432</v>
      </c>
      <c r="W244" s="57">
        <f t="shared" ref="W244" si="280">W243*(1-W36)/W197</f>
        <v>0.11556329959477143</v>
      </c>
    </row>
    <row r="245" spans="1:23" x14ac:dyDescent="0.3">
      <c r="A245" s="14" t="s">
        <v>519</v>
      </c>
      <c r="B245" s="60">
        <f>MAX(0,1-B35/B244)</f>
        <v>0.44776652165401098</v>
      </c>
      <c r="C245" s="60">
        <f>MAX(0,1-C35/C244)</f>
        <v>0.73724602286539997</v>
      </c>
      <c r="D245" s="60">
        <f>MAX(0,1-D35/D244)</f>
        <v>0.79767831374634812</v>
      </c>
      <c r="H245" s="60">
        <f t="shared" ref="H245:V245" si="281">MAX(0,1-H35/H244)</f>
        <v>0.73724602286539997</v>
      </c>
      <c r="I245" s="60">
        <f t="shared" si="281"/>
        <v>0.72801266255346064</v>
      </c>
      <c r="J245" s="60">
        <f t="shared" si="281"/>
        <v>0.74036614242962129</v>
      </c>
      <c r="K245" s="60">
        <f t="shared" si="281"/>
        <v>0.71937506912128202</v>
      </c>
      <c r="L245" s="60">
        <f t="shared" si="281"/>
        <v>0.72638085481179504</v>
      </c>
      <c r="M245" s="60">
        <f t="shared" si="281"/>
        <v>0.73724602286539997</v>
      </c>
      <c r="N245" s="60">
        <f t="shared" si="281"/>
        <v>0.73724602286539997</v>
      </c>
      <c r="O245" s="60">
        <f t="shared" si="281"/>
        <v>0.72268666331612352</v>
      </c>
      <c r="P245" s="60">
        <f t="shared" si="281"/>
        <v>0.72583732203504336</v>
      </c>
      <c r="Q245" s="60">
        <f t="shared" si="281"/>
        <v>0.74631382987687545</v>
      </c>
      <c r="R245" s="60">
        <f t="shared" si="281"/>
        <v>0.73255995859415202</v>
      </c>
      <c r="S245" s="60">
        <f t="shared" si="281"/>
        <v>0.73724602286539997</v>
      </c>
      <c r="T245" s="60">
        <f t="shared" si="281"/>
        <v>0.73724602286539997</v>
      </c>
      <c r="U245" s="60">
        <f t="shared" si="281"/>
        <v>0.74468704533129437</v>
      </c>
      <c r="V245" s="60">
        <f t="shared" si="281"/>
        <v>0.73724602286539997</v>
      </c>
      <c r="W245" s="60">
        <f t="shared" ref="W245" si="282">MAX(0,1-W35/W244)</f>
        <v>0.74040201253169025</v>
      </c>
    </row>
    <row r="246" spans="1:23" x14ac:dyDescent="0.3">
      <c r="A246" s="14" t="s">
        <v>520</v>
      </c>
      <c r="B246" s="43">
        <f>B243*(1-B36)*B245/(B44-B35)</f>
        <v>773.69715933046177</v>
      </c>
      <c r="C246" s="43">
        <f>C243*(1-C36)*C245/(C44-C35)</f>
        <v>3000.7758505682409</v>
      </c>
      <c r="D246" s="43">
        <f>D243*(1-D36)*D245/(D44-D35)</f>
        <v>4565.2675797990187</v>
      </c>
      <c r="H246" s="43">
        <f t="shared" ref="H246:V246" si="283">H243*(1-H36)*H245/(H44-H35)</f>
        <v>3000.7758505682409</v>
      </c>
      <c r="I246" s="43">
        <f t="shared" si="283"/>
        <v>2867.7367930826099</v>
      </c>
      <c r="J246" s="43">
        <f t="shared" si="283"/>
        <v>3102.0211835382529</v>
      </c>
      <c r="K246" s="43">
        <f t="shared" si="283"/>
        <v>2611.1026476122997</v>
      </c>
      <c r="L246" s="43">
        <f t="shared" si="283"/>
        <v>2753.3642931358977</v>
      </c>
      <c r="M246" s="43">
        <f t="shared" si="283"/>
        <v>2804.3614312583195</v>
      </c>
      <c r="N246" s="43">
        <f t="shared" si="283"/>
        <v>2619.7856258039506</v>
      </c>
      <c r="O246" s="43">
        <f t="shared" si="283"/>
        <v>3076.2222762711381</v>
      </c>
      <c r="P246" s="43">
        <f t="shared" si="283"/>
        <v>2732.733722724794</v>
      </c>
      <c r="Q246" s="43">
        <f t="shared" si="283"/>
        <v>3246.9639712862186</v>
      </c>
      <c r="R246" s="43">
        <f t="shared" si="283"/>
        <v>2886.4359786970958</v>
      </c>
      <c r="S246" s="43">
        <f t="shared" si="283"/>
        <v>3000.7758505682409</v>
      </c>
      <c r="T246" s="43">
        <f t="shared" si="283"/>
        <v>3000.7758505682409</v>
      </c>
      <c r="U246" s="43">
        <f t="shared" si="283"/>
        <v>3198.7020635396311</v>
      </c>
      <c r="V246" s="43">
        <f t="shared" si="283"/>
        <v>3255.7230336508192</v>
      </c>
      <c r="W246" s="43">
        <f t="shared" ref="W246" si="284">W243*(1-W36)*W245/(W44-W35)</f>
        <v>3068.7998714785977</v>
      </c>
    </row>
    <row r="247" spans="1:23" x14ac:dyDescent="0.3">
      <c r="A247" s="9" t="s">
        <v>521</v>
      </c>
      <c r="B247" s="67">
        <f>B242+B102+B126+B150+B174+B198+B246/(1+B44)^5</f>
        <v>964.04574420177369</v>
      </c>
      <c r="C247" s="67">
        <f>C242+C102+C126+C150+C174+C198+C246/(1+C44)^5</f>
        <v>2474.5873094250919</v>
      </c>
      <c r="D247" s="67">
        <f>D242+D102+D126+D150+D174+D198+D246/(1+D44)^5</f>
        <v>3595.8594106719188</v>
      </c>
      <c r="H247" s="67">
        <f t="shared" ref="H247:V247" si="285">H242+H102+H126+H150+H174+H198+H246/(1+H44)^5</f>
        <v>2474.5873094250919</v>
      </c>
      <c r="I247" s="67">
        <f t="shared" si="285"/>
        <v>2396.4269386889982</v>
      </c>
      <c r="J247" s="67">
        <f t="shared" si="285"/>
        <v>2534.0688850600527</v>
      </c>
      <c r="K247" s="67">
        <f t="shared" si="285"/>
        <v>2245.6545239365378</v>
      </c>
      <c r="L247" s="67">
        <f t="shared" si="285"/>
        <v>2329.2331599085501</v>
      </c>
      <c r="M247" s="67">
        <f t="shared" si="285"/>
        <v>2308.3057233300219</v>
      </c>
      <c r="N247" s="67">
        <f t="shared" si="285"/>
        <v>2152.3890952634561</v>
      </c>
      <c r="O247" s="67">
        <f t="shared" si="285"/>
        <v>2316.7779430801988</v>
      </c>
      <c r="P247" s="67">
        <f t="shared" si="285"/>
        <v>2317.1127115056206</v>
      </c>
      <c r="Q247" s="67">
        <f t="shared" si="285"/>
        <v>2619.2226905665857</v>
      </c>
      <c r="R247" s="67">
        <f t="shared" si="285"/>
        <v>2407.4126996205136</v>
      </c>
      <c r="S247" s="67">
        <f t="shared" si="285"/>
        <v>2474.5873094250919</v>
      </c>
      <c r="T247" s="67">
        <f t="shared" si="285"/>
        <v>2474.5873094250919</v>
      </c>
      <c r="U247" s="67">
        <f t="shared" si="285"/>
        <v>2590.8688471675387</v>
      </c>
      <c r="V247" s="67">
        <f t="shared" si="285"/>
        <v>2690.8923143335028</v>
      </c>
      <c r="W247" s="67">
        <f t="shared" ref="W247" si="286">W242+W102+W126+W150+W174+W198+W246/(1+W44)^5</f>
        <v>2514.5513830873515</v>
      </c>
    </row>
    <row r="248" spans="1:23" ht="24" x14ac:dyDescent="0.3">
      <c r="A248" s="9" t="s">
        <v>522</v>
      </c>
      <c r="B248" s="18">
        <f>MAX(0,B247*1000/'01_Số liệu gốc'!$B$8)</f>
        <v>8764.0522200161249</v>
      </c>
      <c r="C248" s="18">
        <f>MAX(0,C247*1000/'01_Số liệu gốc'!$B$8)</f>
        <v>22496.248267500836</v>
      </c>
      <c r="D248" s="18">
        <f>MAX(0,D247*1000/'01_Số liệu gốc'!$B$8)</f>
        <v>32689.631006108353</v>
      </c>
      <c r="F248" s="38" t="s">
        <v>523</v>
      </c>
      <c r="H248" s="18">
        <f>MAX(0,H247*1000/'01_Số liệu gốc'!$B$8)</f>
        <v>22496.248267500836</v>
      </c>
      <c r="I248" s="18">
        <f>MAX(0,I247*1000/'01_Số liệu gốc'!$B$8)</f>
        <v>21785.699442627254</v>
      </c>
      <c r="J248" s="18">
        <f>MAX(0,J247*1000/'01_Số liệu gốc'!$B$8)</f>
        <v>23036.989864182298</v>
      </c>
      <c r="K248" s="18">
        <f>MAX(0,K247*1000/'01_Số liệu gốc'!$B$8)</f>
        <v>20415.041126695796</v>
      </c>
      <c r="L248" s="18">
        <f>MAX(0,L247*1000/'01_Số liệu gốc'!$B$8)</f>
        <v>21174.846908259544</v>
      </c>
      <c r="M248" s="18">
        <f>MAX(0,M247*1000/'01_Số liệu gốc'!$B$8)</f>
        <v>20984.59748481838</v>
      </c>
      <c r="N248" s="18">
        <f>MAX(0,N247*1000/'01_Số liệu gốc'!$B$8)</f>
        <v>19567.173593304145</v>
      </c>
      <c r="O248" s="18">
        <f>MAX(0,O247*1000/'01_Số liệu gốc'!$B$8)</f>
        <v>21061.617664365443</v>
      </c>
      <c r="P248" s="18">
        <f>MAX(0,P247*1000/'01_Số liệu gốc'!$B$8)</f>
        <v>21064.661013687462</v>
      </c>
      <c r="Q248" s="18">
        <f>MAX(0,Q247*1000/'01_Số liệu gốc'!$B$8)</f>
        <v>23811.115368787145</v>
      </c>
      <c r="R248" s="18">
        <f>MAX(0,R247*1000/'01_Số liệu gốc'!$B$8)</f>
        <v>21885.569996550126</v>
      </c>
      <c r="S248" s="18">
        <f>MAX(0,S247*1000/'01_Số liệu gốc'!$B$8)</f>
        <v>22496.248267500836</v>
      </c>
      <c r="T248" s="18">
        <f>MAX(0,T247*1000/'01_Số liệu gốc'!$B$8)</f>
        <v>22496.248267500836</v>
      </c>
      <c r="U248" s="18">
        <f>MAX(0,U247*1000/'01_Số liệu gốc'!$B$8)</f>
        <v>23553.353156068533</v>
      </c>
      <c r="V248" s="18">
        <f>MAX(0,V247*1000/'01_Số liệu gốc'!$B$8)</f>
        <v>24462.657403031841</v>
      </c>
      <c r="W248" s="18">
        <f>MAX(0,W247*1000/'01_Số liệu gốc'!$B$8)</f>
        <v>22859.558028066833</v>
      </c>
    </row>
    <row r="250" spans="1:23" x14ac:dyDescent="0.3">
      <c r="A250" s="51" t="s">
        <v>762</v>
      </c>
      <c r="B250" s="52"/>
      <c r="C250" s="52"/>
      <c r="D250" s="52"/>
      <c r="E250" s="52"/>
      <c r="F250" s="52"/>
      <c r="G250" s="52"/>
      <c r="H250" s="52"/>
      <c r="I250" s="52"/>
      <c r="J250" s="52"/>
      <c r="K250" s="52"/>
      <c r="L250" s="52"/>
      <c r="M250" s="52"/>
      <c r="N250" s="52"/>
      <c r="O250" s="52"/>
      <c r="P250" s="52"/>
      <c r="Q250" s="52"/>
      <c r="R250" s="52"/>
      <c r="S250" s="52"/>
      <c r="T250" s="52"/>
      <c r="U250" s="52"/>
      <c r="V250" s="52"/>
      <c r="W250" s="52"/>
    </row>
    <row r="251" spans="1:23" x14ac:dyDescent="0.3">
      <c r="A251" s="14" t="s">
        <v>12</v>
      </c>
      <c r="B251" s="29">
        <f>B221</f>
        <v>15602.829567462946</v>
      </c>
      <c r="C251" s="29">
        <f>C221</f>
        <v>27130.765334580294</v>
      </c>
      <c r="D251" s="29">
        <f>D221</f>
        <v>35934.575914538167</v>
      </c>
      <c r="E251" s="16">
        <f>'02_Giả định'!$B$19</f>
        <v>0</v>
      </c>
      <c r="H251" s="29">
        <f t="shared" ref="H251:V251" si="287">H221</f>
        <v>27130.765334580294</v>
      </c>
      <c r="I251" s="29">
        <f t="shared" si="287"/>
        <v>28084.694245954517</v>
      </c>
      <c r="J251" s="29">
        <f t="shared" si="287"/>
        <v>26950.166607345192</v>
      </c>
      <c r="K251" s="29">
        <f t="shared" si="287"/>
        <v>25281.453671746076</v>
      </c>
      <c r="L251" s="29">
        <f t="shared" si="287"/>
        <v>25956.599199447453</v>
      </c>
      <c r="M251" s="29">
        <f t="shared" si="287"/>
        <v>26639.959512988302</v>
      </c>
      <c r="N251" s="29">
        <f t="shared" si="287"/>
        <v>27130.765334580294</v>
      </c>
      <c r="O251" s="29">
        <f t="shared" si="287"/>
        <v>27130.765334580294</v>
      </c>
      <c r="P251" s="29">
        <f t="shared" si="287"/>
        <v>25366.656375749339</v>
      </c>
      <c r="Q251" s="29">
        <f t="shared" si="287"/>
        <v>28751.042985748598</v>
      </c>
      <c r="R251" s="29">
        <f t="shared" si="287"/>
        <v>26408.763488886339</v>
      </c>
      <c r="S251" s="29">
        <f t="shared" si="287"/>
        <v>25851.427990324279</v>
      </c>
      <c r="T251" s="29">
        <f t="shared" si="287"/>
        <v>32072.205826769143</v>
      </c>
      <c r="U251" s="29">
        <f t="shared" si="287"/>
        <v>28380.57512304675</v>
      </c>
      <c r="V251" s="29">
        <f t="shared" si="287"/>
        <v>27130.765334580294</v>
      </c>
      <c r="W251" s="29">
        <f t="shared" ref="W251" si="288">W221</f>
        <v>27286.831002693296</v>
      </c>
    </row>
    <row r="252" spans="1:23" x14ac:dyDescent="0.3">
      <c r="A252" s="14" t="s">
        <v>13</v>
      </c>
      <c r="B252" s="29">
        <f>B239</f>
        <v>14575.268244566529</v>
      </c>
      <c r="C252" s="29">
        <f>C239</f>
        <v>26693.756718942375</v>
      </c>
      <c r="D252" s="29">
        <f>D239</f>
        <v>36657.749045922094</v>
      </c>
      <c r="E252" s="16">
        <f>'02_Giả định'!$B$20</f>
        <v>1</v>
      </c>
      <c r="H252" s="29">
        <f t="shared" ref="H252:V252" si="289">H239</f>
        <v>26693.756718942375</v>
      </c>
      <c r="I252" s="29">
        <f t="shared" si="289"/>
        <v>27647.685630316602</v>
      </c>
      <c r="J252" s="29">
        <f t="shared" si="289"/>
        <v>26513.157991707274</v>
      </c>
      <c r="K252" s="29">
        <f t="shared" si="289"/>
        <v>24844.445056108158</v>
      </c>
      <c r="L252" s="29">
        <f t="shared" si="289"/>
        <v>25519.590583809542</v>
      </c>
      <c r="M252" s="29">
        <f t="shared" si="289"/>
        <v>25186.558475278594</v>
      </c>
      <c r="N252" s="29">
        <f t="shared" si="289"/>
        <v>24720.971898107164</v>
      </c>
      <c r="O252" s="29">
        <f t="shared" si="289"/>
        <v>26693.756718942375</v>
      </c>
      <c r="P252" s="29">
        <f t="shared" si="289"/>
        <v>25015.837900698451</v>
      </c>
      <c r="Q252" s="29">
        <f t="shared" si="289"/>
        <v>28234.871482894956</v>
      </c>
      <c r="R252" s="29">
        <f t="shared" si="289"/>
        <v>25950.277842866806</v>
      </c>
      <c r="S252" s="29">
        <f t="shared" si="289"/>
        <v>26693.756718942375</v>
      </c>
      <c r="T252" s="29">
        <f t="shared" si="289"/>
        <v>26693.756718942375</v>
      </c>
      <c r="U252" s="29">
        <f t="shared" si="289"/>
        <v>27980.743978572147</v>
      </c>
      <c r="V252" s="29">
        <f t="shared" si="289"/>
        <v>28011.324333151344</v>
      </c>
      <c r="W252" s="29">
        <f t="shared" ref="W252" si="290">W239</f>
        <v>27092.246083387457</v>
      </c>
    </row>
    <row r="253" spans="1:23" x14ac:dyDescent="0.3">
      <c r="A253" s="14" t="s">
        <v>14</v>
      </c>
      <c r="B253" s="29">
        <f>B248</f>
        <v>8764.0522200161249</v>
      </c>
      <c r="C253" s="29">
        <f>C248</f>
        <v>22496.248267500836</v>
      </c>
      <c r="D253" s="29">
        <f>D248</f>
        <v>32689.631006108353</v>
      </c>
      <c r="E253" s="16">
        <f>'02_Giả định'!$B$21</f>
        <v>0</v>
      </c>
      <c r="H253" s="29">
        <f t="shared" ref="H253:V253" si="291">H248</f>
        <v>22496.248267500836</v>
      </c>
      <c r="I253" s="29">
        <f t="shared" si="291"/>
        <v>21785.699442627254</v>
      </c>
      <c r="J253" s="29">
        <f t="shared" si="291"/>
        <v>23036.989864182298</v>
      </c>
      <c r="K253" s="29">
        <f t="shared" si="291"/>
        <v>20415.041126695796</v>
      </c>
      <c r="L253" s="29">
        <f t="shared" si="291"/>
        <v>21174.846908259544</v>
      </c>
      <c r="M253" s="29">
        <f t="shared" si="291"/>
        <v>20984.59748481838</v>
      </c>
      <c r="N253" s="29">
        <f t="shared" si="291"/>
        <v>19567.173593304145</v>
      </c>
      <c r="O253" s="29">
        <f t="shared" si="291"/>
        <v>21061.617664365443</v>
      </c>
      <c r="P253" s="29">
        <f t="shared" si="291"/>
        <v>21064.661013687462</v>
      </c>
      <c r="Q253" s="29">
        <f t="shared" si="291"/>
        <v>23811.115368787145</v>
      </c>
      <c r="R253" s="29">
        <f t="shared" si="291"/>
        <v>21885.569996550126</v>
      </c>
      <c r="S253" s="29">
        <f t="shared" si="291"/>
        <v>22496.248267500836</v>
      </c>
      <c r="T253" s="29">
        <f t="shared" si="291"/>
        <v>22496.248267500836</v>
      </c>
      <c r="U253" s="29">
        <f t="shared" si="291"/>
        <v>23553.353156068533</v>
      </c>
      <c r="V253" s="29">
        <f t="shared" si="291"/>
        <v>24462.657403031841</v>
      </c>
      <c r="W253" s="29">
        <f t="shared" ref="W253" si="292">W248</f>
        <v>22859.558028066833</v>
      </c>
    </row>
    <row r="254" spans="1:23" x14ac:dyDescent="0.3">
      <c r="A254" s="14" t="s">
        <v>15</v>
      </c>
      <c r="B254" s="29">
        <f>B230</f>
        <v>14239.967224531309</v>
      </c>
      <c r="C254" s="29">
        <f>C230</f>
        <v>18858.334973027948</v>
      </c>
      <c r="D254" s="29">
        <f>D230</f>
        <v>24631.294658648752</v>
      </c>
      <c r="E254" s="16">
        <f>'02_Giả định'!$B$22</f>
        <v>0</v>
      </c>
      <c r="H254" s="29">
        <f t="shared" ref="H254:V254" si="293">H230</f>
        <v>18858.334973027948</v>
      </c>
      <c r="I254" s="29">
        <f t="shared" si="293"/>
        <v>18858.334973027948</v>
      </c>
      <c r="J254" s="29">
        <f t="shared" si="293"/>
        <v>18858.334973027948</v>
      </c>
      <c r="K254" s="29">
        <f t="shared" si="293"/>
        <v>18858.334973027948</v>
      </c>
      <c r="L254" s="29">
        <f t="shared" si="293"/>
        <v>18858.334973027948</v>
      </c>
      <c r="M254" s="29">
        <f t="shared" si="293"/>
        <v>17623.971229338847</v>
      </c>
      <c r="N254" s="29">
        <f t="shared" si="293"/>
        <v>16464.007093225249</v>
      </c>
      <c r="O254" s="29">
        <f t="shared" si="293"/>
        <v>18858.334973027948</v>
      </c>
      <c r="P254" s="29">
        <f t="shared" si="293"/>
        <v>18858.334973027948</v>
      </c>
      <c r="Q254" s="29">
        <f t="shared" si="293"/>
        <v>18858.334973027948</v>
      </c>
      <c r="R254" s="29">
        <f t="shared" si="293"/>
        <v>18858.334973027948</v>
      </c>
      <c r="S254" s="29">
        <f t="shared" si="293"/>
        <v>18858.334973027948</v>
      </c>
      <c r="T254" s="29">
        <f t="shared" si="293"/>
        <v>18858.334973027948</v>
      </c>
      <c r="U254" s="29">
        <f t="shared" si="293"/>
        <v>18858.334973027948</v>
      </c>
      <c r="V254" s="29">
        <f t="shared" si="293"/>
        <v>20460.547073638762</v>
      </c>
      <c r="W254" s="29">
        <f t="shared" ref="W254" si="294">W230</f>
        <v>18858.334973027948</v>
      </c>
    </row>
    <row r="255" spans="1:23" x14ac:dyDescent="0.3">
      <c r="A255" s="14" t="s">
        <v>16</v>
      </c>
      <c r="B255" s="29">
        <f>B226</f>
        <v>16868.761595387907</v>
      </c>
      <c r="C255" s="29">
        <f>C226</f>
        <v>27001.288977248783</v>
      </c>
      <c r="D255" s="29">
        <f>D226</f>
        <v>34389.280262859284</v>
      </c>
      <c r="E255" s="16">
        <f>'02_Giả định'!$B$23</f>
        <v>0</v>
      </c>
      <c r="H255" s="29">
        <f t="shared" ref="H255:V255" si="295">H226</f>
        <v>27001.288977248783</v>
      </c>
      <c r="I255" s="29">
        <f t="shared" si="295"/>
        <v>27955.21788862301</v>
      </c>
      <c r="J255" s="29">
        <f t="shared" si="295"/>
        <v>26820.690250013686</v>
      </c>
      <c r="K255" s="29">
        <f t="shared" si="295"/>
        <v>25151.977314414566</v>
      </c>
      <c r="L255" s="29">
        <f t="shared" si="295"/>
        <v>25827.122842115947</v>
      </c>
      <c r="M255" s="29">
        <f t="shared" si="295"/>
        <v>26510.483155656791</v>
      </c>
      <c r="N255" s="29">
        <f t="shared" si="295"/>
        <v>27001.288977248783</v>
      </c>
      <c r="O255" s="29">
        <f t="shared" si="295"/>
        <v>27001.288977248783</v>
      </c>
      <c r="P255" s="29">
        <f t="shared" si="295"/>
        <v>25684.968359480466</v>
      </c>
      <c r="Q255" s="29">
        <f t="shared" si="295"/>
        <v>28210.287360293922</v>
      </c>
      <c r="R255" s="29">
        <f t="shared" si="295"/>
        <v>26462.554727985895</v>
      </c>
      <c r="S255" s="29">
        <f t="shared" si="295"/>
        <v>27001.288977248783</v>
      </c>
      <c r="T255" s="29">
        <f t="shared" si="295"/>
        <v>27001.288977248783</v>
      </c>
      <c r="U255" s="29">
        <f t="shared" si="295"/>
        <v>27933.856313643508</v>
      </c>
      <c r="V255" s="29">
        <f t="shared" si="295"/>
        <v>27001.288977248783</v>
      </c>
      <c r="W255" s="29">
        <f t="shared" ref="W255" si="296">W226</f>
        <v>27117.740093056887</v>
      </c>
    </row>
    <row r="256" spans="1:23" x14ac:dyDescent="0.3">
      <c r="A256" s="9" t="s">
        <v>820</v>
      </c>
      <c r="B256" s="73">
        <f>SUMPRODUCT(B251:B255,$E$251:$E$255)</f>
        <v>14575.268244566529</v>
      </c>
      <c r="C256" s="73">
        <f>SUMPRODUCT(C251:C255,$E$251:$E$255)</f>
        <v>26693.756718942375</v>
      </c>
      <c r="D256" s="73">
        <f>SUMPRODUCT(D251:D255,$E$251:$E$255)</f>
        <v>36657.749045922094</v>
      </c>
      <c r="H256" s="73">
        <f t="shared" ref="H256:V256" si="297">SUMPRODUCT(H251:H255,$E$251:$E$255)</f>
        <v>26693.756718942375</v>
      </c>
      <c r="I256" s="73">
        <f t="shared" si="297"/>
        <v>27647.685630316602</v>
      </c>
      <c r="J256" s="73">
        <f t="shared" si="297"/>
        <v>26513.157991707274</v>
      </c>
      <c r="K256" s="73">
        <f t="shared" si="297"/>
        <v>24844.445056108158</v>
      </c>
      <c r="L256" s="73">
        <f t="shared" si="297"/>
        <v>25519.590583809542</v>
      </c>
      <c r="M256" s="73">
        <f t="shared" si="297"/>
        <v>25186.558475278594</v>
      </c>
      <c r="N256" s="73">
        <f t="shared" si="297"/>
        <v>24720.971898107164</v>
      </c>
      <c r="O256" s="73">
        <f t="shared" si="297"/>
        <v>26693.756718942375</v>
      </c>
      <c r="P256" s="73">
        <f t="shared" si="297"/>
        <v>25015.837900698451</v>
      </c>
      <c r="Q256" s="73">
        <f t="shared" si="297"/>
        <v>28234.871482894956</v>
      </c>
      <c r="R256" s="73">
        <f t="shared" si="297"/>
        <v>25950.277842866806</v>
      </c>
      <c r="S256" s="73">
        <f t="shared" si="297"/>
        <v>26693.756718942375</v>
      </c>
      <c r="T256" s="73">
        <f t="shared" si="297"/>
        <v>26693.756718942375</v>
      </c>
      <c r="U256" s="73">
        <f t="shared" si="297"/>
        <v>27980.743978572147</v>
      </c>
      <c r="V256" s="73">
        <f t="shared" si="297"/>
        <v>28011.324333151344</v>
      </c>
      <c r="W256" s="73">
        <f t="shared" ref="W256" si="298">SUMPRODUCT(W251:W255,$E$251:$E$255)</f>
        <v>27092.246083387457</v>
      </c>
    </row>
    <row r="257" spans="1:23" x14ac:dyDescent="0.3">
      <c r="A257" s="14" t="s">
        <v>524</v>
      </c>
      <c r="B257" s="72">
        <f>IF(MIN(B251:B255)&lt;=0,"có phương pháp = 0",MAX(B251:B255)/MIN(B251:B255))</f>
        <v>1.9247673532639984</v>
      </c>
      <c r="C257" s="72">
        <f>IF(MIN(C251:C255)&lt;=0,"có phương pháp = 0",MAX(C251:C255)/MIN(C251:C255))</f>
        <v>1.4386617574342566</v>
      </c>
      <c r="D257" s="72">
        <f>IF(MIN(D251:D255)&lt;=0,"có phương pháp = 0",MAX(D251:D255)/MIN(D251:D255))</f>
        <v>1.4882591253907358</v>
      </c>
      <c r="F257" s="38" t="s">
        <v>19</v>
      </c>
      <c r="H257" s="72">
        <f t="shared" ref="H257:V257" si="299">IF(MIN(H251:H255)&lt;=0,"có phương pháp = 0",MAX(H251:H255)/MIN(H251:H255))</f>
        <v>1.4386617574342566</v>
      </c>
      <c r="I257" s="72">
        <f t="shared" si="299"/>
        <v>1.4892456988447034</v>
      </c>
      <c r="J257" s="72">
        <f t="shared" si="299"/>
        <v>1.4290851576181329</v>
      </c>
      <c r="K257" s="72">
        <f t="shared" si="299"/>
        <v>1.3405983989522281</v>
      </c>
      <c r="L257" s="72">
        <f t="shared" si="299"/>
        <v>1.376399307604397</v>
      </c>
      <c r="M257" s="72">
        <f t="shared" si="299"/>
        <v>1.5115752951661896</v>
      </c>
      <c r="N257" s="72">
        <f t="shared" si="299"/>
        <v>1.6478834818860284</v>
      </c>
      <c r="O257" s="72">
        <f t="shared" si="299"/>
        <v>1.4386617574342566</v>
      </c>
      <c r="P257" s="72">
        <f t="shared" si="299"/>
        <v>1.3619955524290073</v>
      </c>
      <c r="Q257" s="72">
        <f t="shared" si="299"/>
        <v>1.5245801406576802</v>
      </c>
      <c r="R257" s="72">
        <f t="shared" si="299"/>
        <v>1.4032285865021408</v>
      </c>
      <c r="S257" s="72">
        <f t="shared" si="299"/>
        <v>1.4317960210096627</v>
      </c>
      <c r="T257" s="72">
        <f t="shared" si="299"/>
        <v>1.7006912790890754</v>
      </c>
      <c r="U257" s="72">
        <f t="shared" si="299"/>
        <v>1.5049353595446229</v>
      </c>
      <c r="V257" s="72">
        <f t="shared" si="299"/>
        <v>1.3690408292767966</v>
      </c>
      <c r="W257" s="72">
        <f t="shared" ref="W257" si="300">IF(MIN(W251:W255)&lt;=0,"có phương pháp = 0",MAX(W251:W255)/MIN(W251:W255))</f>
        <v>1.4469374439323603</v>
      </c>
    </row>
    <row r="258" spans="1:23" x14ac:dyDescent="0.3">
      <c r="A258" s="14" t="s">
        <v>17</v>
      </c>
      <c r="B258" s="19">
        <f>B256/'01_Số liệu gốc'!$B$11-1</f>
        <v>-0.45205758479073199</v>
      </c>
      <c r="C258" s="19">
        <f>C256/'01_Số liệu gốc'!$B$11-1</f>
        <v>3.5246886820441414E-3</v>
      </c>
      <c r="D258" s="19">
        <f>D256/'01_Số liệu gốc'!$B$11-1</f>
        <v>0.37811086638804858</v>
      </c>
      <c r="H258" s="19">
        <f>H256/'01_Số liệu gốc'!$B$11-1</f>
        <v>3.5246886820441414E-3</v>
      </c>
      <c r="I258" s="19">
        <f>I256/'01_Số liệu gốc'!$B$11-1</f>
        <v>3.9386677831451111E-2</v>
      </c>
      <c r="J258" s="19">
        <f>J256/'01_Số liệu gốc'!$B$11-1</f>
        <v>-3.2647371538618852E-3</v>
      </c>
      <c r="K258" s="19">
        <f>K256/'01_Số liệu gốc'!$B$11-1</f>
        <v>-6.5998306161347498E-2</v>
      </c>
      <c r="L258" s="19">
        <f>L256/'01_Số liệu gốc'!$B$11-1</f>
        <v>-4.0616895345505943E-2</v>
      </c>
      <c r="M258" s="19">
        <f>M256/'01_Số liệu gốc'!$B$11-1</f>
        <v>-5.3136899425616724E-2</v>
      </c>
      <c r="N258" s="19">
        <f>N256/'01_Số liệu gốc'!$B$11-1</f>
        <v>-7.0640154206497607E-2</v>
      </c>
      <c r="O258" s="19">
        <f>O256/'01_Số liệu gốc'!$B$11-1</f>
        <v>3.5246886820441414E-3</v>
      </c>
      <c r="P258" s="19">
        <f>P256/'01_Số liệu gốc'!$B$11-1</f>
        <v>-5.9554966139156007E-2</v>
      </c>
      <c r="Q258" s="19">
        <f>Q256/'01_Số liệu gốc'!$B$11-1</f>
        <v>6.146133394341935E-2</v>
      </c>
      <c r="R258" s="19">
        <f>R256/'01_Số liệu gốc'!$B$11-1</f>
        <v>-2.4425645005007324E-2</v>
      </c>
      <c r="S258" s="19">
        <f>S256/'01_Số liệu gốc'!$B$11-1</f>
        <v>3.5246886820441414E-3</v>
      </c>
      <c r="T258" s="19">
        <f>T256/'01_Số liệu gốc'!$B$11-1</f>
        <v>3.5246886820441414E-3</v>
      </c>
      <c r="U258" s="19">
        <f>U256/'01_Số liệu gốc'!$B$11-1</f>
        <v>5.1907668367374038E-2</v>
      </c>
      <c r="V258" s="19">
        <f>V256/'01_Số liệu gốc'!$B$11-1</f>
        <v>5.3057305757569395E-2</v>
      </c>
      <c r="W258" s="19">
        <f>W256/'01_Số liệu gốc'!$B$11-1</f>
        <v>1.8505491856671386E-2</v>
      </c>
    </row>
    <row r="259" spans="1:23" x14ac:dyDescent="0.3">
      <c r="A259" s="14" t="s">
        <v>525</v>
      </c>
      <c r="H259" s="9" t="str">
        <f>IF(ABS(H256-C256)&lt;0.001,"KHỚP","LỆCH")</f>
        <v>KHỚP</v>
      </c>
    </row>
    <row r="260" spans="1:23" x14ac:dyDescent="0.3">
      <c r="A260" s="14" t="s">
        <v>821</v>
      </c>
      <c r="B260" s="15">
        <f>($C$214-$C$216)*(1-'02_Giả định'!$B$26)*1000/'01_Số liệu gốc'!$B$8</f>
        <v>11246.342727272728</v>
      </c>
      <c r="C260" s="15"/>
      <c r="D260" s="15"/>
      <c r="F260" t="s">
        <v>822</v>
      </c>
    </row>
    <row r="261" spans="1:23" x14ac:dyDescent="0.3">
      <c r="A261" s="14" t="s">
        <v>823</v>
      </c>
      <c r="B261" s="29">
        <f>B256-$B$260</f>
        <v>3328.925517293801</v>
      </c>
      <c r="C261" s="29">
        <f>C256-$B$260</f>
        <v>15447.413991669648</v>
      </c>
      <c r="D261" s="29">
        <f>D256-$B$260</f>
        <v>25411.406318649366</v>
      </c>
      <c r="F261" t="s">
        <v>824</v>
      </c>
    </row>
    <row r="262" spans="1:23" x14ac:dyDescent="0.3">
      <c r="B262" s="99"/>
      <c r="C262" s="99"/>
      <c r="D262" s="99"/>
    </row>
    <row r="264" spans="1:23" x14ac:dyDescent="0.3">
      <c r="A264" s="14" t="s">
        <v>526</v>
      </c>
      <c r="B264" s="15">
        <f>'01_Số liệu gốc'!$B$11</f>
        <v>26600</v>
      </c>
      <c r="C264" s="99"/>
      <c r="D264" s="99"/>
      <c r="F264" s="38"/>
    </row>
    <row r="265" spans="1:23" x14ac:dyDescent="0.3">
      <c r="A265" s="14" t="s">
        <v>825</v>
      </c>
      <c r="B265" s="95">
        <f>(C256-B264)/C261</f>
        <v>6.0694119412437342E-3</v>
      </c>
      <c r="F265" s="38" t="s">
        <v>826</v>
      </c>
    </row>
    <row r="266" spans="1:23" x14ac:dyDescent="0.3">
      <c r="A266" s="14" t="s">
        <v>827</v>
      </c>
      <c r="B266" s="65">
        <f>(D256-B264)/(B264-B256)</f>
        <v>0.83642190532669625</v>
      </c>
      <c r="F266" s="38" t="s">
        <v>828</v>
      </c>
    </row>
    <row r="267" spans="1:23" x14ac:dyDescent="0.3">
      <c r="A267" s="14" t="s">
        <v>829</v>
      </c>
      <c r="B267" s="95">
        <f>C256/B264-1</f>
        <v>3.5246886820441414E-3</v>
      </c>
      <c r="F267" s="38"/>
    </row>
    <row r="270" spans="1:23" x14ac:dyDescent="0.3">
      <c r="A270" s="110" t="s">
        <v>861</v>
      </c>
      <c r="B270" s="111"/>
      <c r="C270" s="111"/>
      <c r="D270" s="111"/>
      <c r="E270" s="111"/>
      <c r="F270" s="111"/>
      <c r="G270" s="111"/>
      <c r="H270" s="111"/>
    </row>
    <row r="271" spans="1:23" x14ac:dyDescent="0.3">
      <c r="A271" t="s">
        <v>862</v>
      </c>
      <c r="B271" s="103">
        <f>'06_Dự án'!B23</f>
        <v>20</v>
      </c>
      <c r="C271" s="103">
        <f>'06_Dự án'!C23</f>
        <v>90</v>
      </c>
      <c r="D271" s="103">
        <f>'06_Dự án'!D23</f>
        <v>110</v>
      </c>
      <c r="H271">
        <f>$C271</f>
        <v>90</v>
      </c>
      <c r="I271">
        <f t="shared" ref="I271:W273" si="301">$C271</f>
        <v>90</v>
      </c>
      <c r="J271">
        <f t="shared" si="301"/>
        <v>90</v>
      </c>
      <c r="K271">
        <f t="shared" si="301"/>
        <v>90</v>
      </c>
      <c r="L271">
        <f t="shared" si="301"/>
        <v>90</v>
      </c>
      <c r="M271">
        <f t="shared" si="301"/>
        <v>90</v>
      </c>
      <c r="N271">
        <f t="shared" si="301"/>
        <v>90</v>
      </c>
      <c r="O271">
        <f t="shared" si="301"/>
        <v>90</v>
      </c>
      <c r="P271">
        <f t="shared" si="301"/>
        <v>90</v>
      </c>
      <c r="Q271">
        <f t="shared" si="301"/>
        <v>90</v>
      </c>
      <c r="R271">
        <f t="shared" si="301"/>
        <v>90</v>
      </c>
      <c r="S271">
        <f t="shared" si="301"/>
        <v>90</v>
      </c>
      <c r="T271">
        <f t="shared" si="301"/>
        <v>90</v>
      </c>
      <c r="U271">
        <f t="shared" si="301"/>
        <v>90</v>
      </c>
      <c r="V271">
        <f t="shared" si="301"/>
        <v>90</v>
      </c>
      <c r="W271">
        <f t="shared" si="301"/>
        <v>90</v>
      </c>
    </row>
    <row r="272" spans="1:23" x14ac:dyDescent="0.3">
      <c r="A272" t="s">
        <v>863</v>
      </c>
      <c r="B272" s="104">
        <f>'06_Dự án'!B24</f>
        <v>2032</v>
      </c>
      <c r="C272" s="104">
        <f>'06_Dự án'!C24</f>
        <v>2038</v>
      </c>
      <c r="D272" s="104">
        <f>'06_Dự án'!D24</f>
        <v>2035</v>
      </c>
      <c r="E272" s="102"/>
      <c r="F272" s="102"/>
      <c r="G272" s="102"/>
      <c r="H272" s="102">
        <f>$C272</f>
        <v>2038</v>
      </c>
      <c r="I272" s="102">
        <f t="shared" si="301"/>
        <v>2038</v>
      </c>
      <c r="J272" s="102">
        <f t="shared" si="301"/>
        <v>2038</v>
      </c>
      <c r="K272" s="102">
        <f t="shared" si="301"/>
        <v>2038</v>
      </c>
      <c r="L272" s="102">
        <f t="shared" si="301"/>
        <v>2038</v>
      </c>
      <c r="M272" s="102">
        <f t="shared" si="301"/>
        <v>2038</v>
      </c>
      <c r="N272" s="102">
        <f t="shared" si="301"/>
        <v>2038</v>
      </c>
      <c r="O272" s="102">
        <f t="shared" si="301"/>
        <v>2038</v>
      </c>
      <c r="P272" s="102">
        <f t="shared" si="301"/>
        <v>2038</v>
      </c>
      <c r="Q272" s="102">
        <f t="shared" si="301"/>
        <v>2038</v>
      </c>
      <c r="R272" s="102">
        <f t="shared" si="301"/>
        <v>2038</v>
      </c>
      <c r="S272" s="102">
        <f t="shared" si="301"/>
        <v>2038</v>
      </c>
      <c r="T272" s="102">
        <f t="shared" si="301"/>
        <v>2038</v>
      </c>
      <c r="U272" s="102">
        <f t="shared" si="301"/>
        <v>2038</v>
      </c>
      <c r="V272" s="102">
        <f t="shared" si="301"/>
        <v>2038</v>
      </c>
      <c r="W272" s="102">
        <f t="shared" si="301"/>
        <v>2038</v>
      </c>
    </row>
    <row r="273" spans="1:23" x14ac:dyDescent="0.3">
      <c r="A273" t="s">
        <v>864</v>
      </c>
      <c r="B273" s="108">
        <f>'06_Dự án'!B25</f>
        <v>0</v>
      </c>
      <c r="C273" s="108">
        <f>'06_Dự án'!C25</f>
        <v>0.03</v>
      </c>
      <c r="D273" s="108">
        <f>'06_Dự án'!D25</f>
        <v>0.03</v>
      </c>
      <c r="E273" s="91"/>
      <c r="F273" s="91"/>
      <c r="G273" s="91"/>
      <c r="H273" s="91">
        <f>$C273</f>
        <v>0.03</v>
      </c>
      <c r="I273" s="91">
        <f t="shared" si="301"/>
        <v>0.03</v>
      </c>
      <c r="J273" s="91">
        <f t="shared" si="301"/>
        <v>0.03</v>
      </c>
      <c r="K273" s="91">
        <f t="shared" si="301"/>
        <v>0.03</v>
      </c>
      <c r="L273" s="91">
        <f t="shared" si="301"/>
        <v>0.03</v>
      </c>
      <c r="M273" s="91">
        <f t="shared" si="301"/>
        <v>0.03</v>
      </c>
      <c r="N273" s="91">
        <f t="shared" si="301"/>
        <v>0.03</v>
      </c>
      <c r="O273" s="91">
        <f t="shared" si="301"/>
        <v>0.03</v>
      </c>
      <c r="P273" s="91">
        <f t="shared" si="301"/>
        <v>0.03</v>
      </c>
      <c r="Q273" s="91">
        <f t="shared" si="301"/>
        <v>0.03</v>
      </c>
      <c r="R273" s="91">
        <f t="shared" si="301"/>
        <v>0.03</v>
      </c>
      <c r="S273" s="91">
        <f t="shared" si="301"/>
        <v>0.03</v>
      </c>
      <c r="T273" s="91">
        <f t="shared" si="301"/>
        <v>0.03</v>
      </c>
      <c r="U273" s="91">
        <f t="shared" si="301"/>
        <v>0.03</v>
      </c>
      <c r="V273" s="91">
        <f t="shared" si="301"/>
        <v>0.03</v>
      </c>
      <c r="W273" s="91">
        <f t="shared" si="301"/>
        <v>0.03</v>
      </c>
    </row>
    <row r="274" spans="1:23" x14ac:dyDescent="0.3">
      <c r="A274" s="105" t="s">
        <v>865</v>
      </c>
      <c r="B274" s="113" t="s">
        <v>7</v>
      </c>
      <c r="C274" s="113" t="s">
        <v>8</v>
      </c>
      <c r="D274" s="113" t="s">
        <v>9</v>
      </c>
      <c r="E274" s="113"/>
      <c r="F274" s="113"/>
      <c r="G274" s="113"/>
      <c r="H274" s="113" t="s">
        <v>866</v>
      </c>
    </row>
    <row r="275" spans="1:23" hidden="1" outlineLevel="1" x14ac:dyDescent="0.3">
      <c r="A275" s="112">
        <v>2027</v>
      </c>
      <c r="B275" s="106">
        <f>IF($A275&lt;B$29,0,IF($A275&gt;=B$272,B$271*(1+B$273)^($A275-B$272),B$30+(B$271-B$30)*($A275-B$29)/(B$272-B$29)))</f>
        <v>0</v>
      </c>
      <c r="C275" s="106">
        <f t="shared" ref="C275:D290" si="302">IF($A275&lt;C$29,0,IF($A275&gt;=C$272,C$271*(1+C$273)^($A275-C$272),C$30+(C$271-C$30)*($A275-C$29)/(C$272-C$29)))</f>
        <v>0</v>
      </c>
      <c r="D275" s="106">
        <f t="shared" si="302"/>
        <v>0</v>
      </c>
      <c r="E275" s="106"/>
      <c r="F275" s="106"/>
      <c r="G275" s="106"/>
      <c r="H275" s="106">
        <f>IF($A275&lt;H$29,0,IF($A275&gt;=H$272,H$271*(1+H$273)^($A275-H$272),H$30+(H$271-H$30)*($A275-H$29)/(H$272-H$29)))</f>
        <v>0</v>
      </c>
      <c r="I275" s="106">
        <f t="shared" ref="I275:W275" si="303">IF($A275&lt;I$29,0,IF($A275&gt;=I$272,I$271*(1+I$273)^($A275-I$272),I$30+(I$271-I$30)*($A275-I$29)/(I$272-I$29)))</f>
        <v>0</v>
      </c>
      <c r="J275" s="106">
        <f t="shared" si="303"/>
        <v>0</v>
      </c>
      <c r="K275" s="106">
        <f t="shared" si="303"/>
        <v>0</v>
      </c>
      <c r="L275" s="106">
        <f t="shared" si="303"/>
        <v>0</v>
      </c>
      <c r="M275" s="106">
        <f t="shared" si="303"/>
        <v>0</v>
      </c>
      <c r="N275" s="106">
        <f t="shared" si="303"/>
        <v>0</v>
      </c>
      <c r="O275" s="106">
        <f t="shared" si="303"/>
        <v>0</v>
      </c>
      <c r="P275" s="106">
        <f t="shared" si="303"/>
        <v>0</v>
      </c>
      <c r="Q275" s="106">
        <f t="shared" si="303"/>
        <v>0</v>
      </c>
      <c r="R275" s="106">
        <f t="shared" si="303"/>
        <v>0</v>
      </c>
      <c r="S275" s="106">
        <f t="shared" si="303"/>
        <v>0</v>
      </c>
      <c r="T275" s="106">
        <f t="shared" si="303"/>
        <v>0</v>
      </c>
      <c r="U275" s="106">
        <f t="shared" si="303"/>
        <v>0</v>
      </c>
      <c r="V275" s="106">
        <f t="shared" si="303"/>
        <v>0</v>
      </c>
      <c r="W275" s="106">
        <f t="shared" si="303"/>
        <v>0</v>
      </c>
    </row>
    <row r="276" spans="1:23" hidden="1" outlineLevel="1" x14ac:dyDescent="0.3">
      <c r="A276" s="112">
        <v>2028</v>
      </c>
      <c r="B276" s="106">
        <f t="shared" ref="B276:D308" si="304">IF($A276&lt;B$29,0,IF($A276&gt;=B$272,B$271*(1+B$273)^($A276-B$272),B$30+(B$271-B$30)*($A276-B$29)/(B$272-B$29)))</f>
        <v>0</v>
      </c>
      <c r="C276" s="106">
        <f t="shared" si="302"/>
        <v>0</v>
      </c>
      <c r="D276" s="106">
        <f t="shared" si="302"/>
        <v>0</v>
      </c>
      <c r="E276" s="106"/>
      <c r="F276" s="106"/>
      <c r="G276" s="106"/>
      <c r="H276" s="106">
        <f t="shared" ref="H276:W308" si="305">IF($A276&lt;H$29,0,IF($A276&gt;=H$272,H$271*(1+H$273)^($A276-H$272),H$30+(H$271-H$30)*($A276-H$29)/(H$272-H$29)))</f>
        <v>0</v>
      </c>
      <c r="I276" s="106">
        <f t="shared" si="305"/>
        <v>0</v>
      </c>
      <c r="J276" s="106">
        <f t="shared" si="305"/>
        <v>45</v>
      </c>
      <c r="K276" s="106">
        <f t="shared" si="305"/>
        <v>0</v>
      </c>
      <c r="L276" s="106">
        <f t="shared" si="305"/>
        <v>0</v>
      </c>
      <c r="M276" s="106">
        <f t="shared" si="305"/>
        <v>0</v>
      </c>
      <c r="N276" s="106">
        <f t="shared" si="305"/>
        <v>0</v>
      </c>
      <c r="O276" s="106">
        <f t="shared" si="305"/>
        <v>0</v>
      </c>
      <c r="P276" s="106">
        <f t="shared" si="305"/>
        <v>0</v>
      </c>
      <c r="Q276" s="106">
        <f t="shared" si="305"/>
        <v>0</v>
      </c>
      <c r="R276" s="106">
        <f t="shared" si="305"/>
        <v>0</v>
      </c>
      <c r="S276" s="106">
        <f t="shared" si="305"/>
        <v>0</v>
      </c>
      <c r="T276" s="106">
        <f t="shared" si="305"/>
        <v>0</v>
      </c>
      <c r="U276" s="106">
        <f t="shared" si="305"/>
        <v>0</v>
      </c>
      <c r="V276" s="106">
        <f t="shared" si="305"/>
        <v>0</v>
      </c>
      <c r="W276" s="106">
        <f t="shared" si="305"/>
        <v>0</v>
      </c>
    </row>
    <row r="277" spans="1:23" hidden="1" outlineLevel="1" x14ac:dyDescent="0.3">
      <c r="A277" s="112">
        <v>2029</v>
      </c>
      <c r="B277" s="106">
        <f t="shared" si="304"/>
        <v>0</v>
      </c>
      <c r="C277" s="106">
        <f t="shared" si="302"/>
        <v>0</v>
      </c>
      <c r="D277" s="106">
        <f t="shared" si="302"/>
        <v>0</v>
      </c>
      <c r="E277" s="106"/>
      <c r="F277" s="106"/>
      <c r="G277" s="106"/>
      <c r="H277" s="106">
        <f t="shared" si="305"/>
        <v>0</v>
      </c>
      <c r="I277" s="106">
        <f t="shared" si="305"/>
        <v>0</v>
      </c>
      <c r="J277" s="106">
        <f t="shared" si="305"/>
        <v>49.5</v>
      </c>
      <c r="K277" s="106">
        <f t="shared" si="305"/>
        <v>0</v>
      </c>
      <c r="L277" s="106">
        <f t="shared" si="305"/>
        <v>0</v>
      </c>
      <c r="M277" s="106">
        <f t="shared" si="305"/>
        <v>0</v>
      </c>
      <c r="N277" s="106">
        <f t="shared" si="305"/>
        <v>0</v>
      </c>
      <c r="O277" s="106">
        <f t="shared" si="305"/>
        <v>0</v>
      </c>
      <c r="P277" s="106">
        <f t="shared" si="305"/>
        <v>0</v>
      </c>
      <c r="Q277" s="106">
        <f t="shared" si="305"/>
        <v>0</v>
      </c>
      <c r="R277" s="106">
        <f t="shared" si="305"/>
        <v>0</v>
      </c>
      <c r="S277" s="106">
        <f t="shared" si="305"/>
        <v>0</v>
      </c>
      <c r="T277" s="106">
        <f t="shared" si="305"/>
        <v>0</v>
      </c>
      <c r="U277" s="106">
        <f t="shared" si="305"/>
        <v>0</v>
      </c>
      <c r="V277" s="106">
        <f t="shared" si="305"/>
        <v>0</v>
      </c>
      <c r="W277" s="106">
        <f t="shared" si="305"/>
        <v>0</v>
      </c>
    </row>
    <row r="278" spans="1:23" hidden="1" outlineLevel="1" x14ac:dyDescent="0.3">
      <c r="A278" s="112">
        <v>2030</v>
      </c>
      <c r="B278" s="106">
        <f t="shared" si="304"/>
        <v>0</v>
      </c>
      <c r="C278" s="106">
        <f t="shared" si="302"/>
        <v>45</v>
      </c>
      <c r="D278" s="106">
        <f t="shared" si="302"/>
        <v>45</v>
      </c>
      <c r="E278" s="106"/>
      <c r="F278" s="106"/>
      <c r="G278" s="106"/>
      <c r="H278" s="106">
        <f t="shared" si="305"/>
        <v>45</v>
      </c>
      <c r="I278" s="106">
        <f t="shared" si="305"/>
        <v>45</v>
      </c>
      <c r="J278" s="106">
        <f t="shared" si="305"/>
        <v>54</v>
      </c>
      <c r="K278" s="106">
        <f t="shared" si="305"/>
        <v>45</v>
      </c>
      <c r="L278" s="106">
        <f t="shared" si="305"/>
        <v>45</v>
      </c>
      <c r="M278" s="106">
        <f t="shared" si="305"/>
        <v>45</v>
      </c>
      <c r="N278" s="106">
        <f t="shared" si="305"/>
        <v>45</v>
      </c>
      <c r="O278" s="106">
        <f t="shared" si="305"/>
        <v>45</v>
      </c>
      <c r="P278" s="106">
        <f t="shared" si="305"/>
        <v>45</v>
      </c>
      <c r="Q278" s="106">
        <f t="shared" si="305"/>
        <v>45</v>
      </c>
      <c r="R278" s="106">
        <f t="shared" si="305"/>
        <v>45</v>
      </c>
      <c r="S278" s="106">
        <f t="shared" si="305"/>
        <v>45</v>
      </c>
      <c r="T278" s="106">
        <f t="shared" si="305"/>
        <v>45</v>
      </c>
      <c r="U278" s="106">
        <f t="shared" si="305"/>
        <v>45</v>
      </c>
      <c r="V278" s="106">
        <f t="shared" si="305"/>
        <v>45</v>
      </c>
      <c r="W278" s="106">
        <f t="shared" si="305"/>
        <v>45</v>
      </c>
    </row>
    <row r="279" spans="1:23" hidden="1" outlineLevel="1" x14ac:dyDescent="0.3">
      <c r="A279" s="112">
        <v>2031</v>
      </c>
      <c r="B279" s="106">
        <f t="shared" si="304"/>
        <v>0</v>
      </c>
      <c r="C279" s="106">
        <f t="shared" si="302"/>
        <v>50.625</v>
      </c>
      <c r="D279" s="106">
        <f t="shared" si="302"/>
        <v>58</v>
      </c>
      <c r="E279" s="106"/>
      <c r="F279" s="106"/>
      <c r="G279" s="106"/>
      <c r="H279" s="106">
        <f t="shared" si="305"/>
        <v>50.625</v>
      </c>
      <c r="I279" s="106">
        <f t="shared" si="305"/>
        <v>50.625</v>
      </c>
      <c r="J279" s="106">
        <f t="shared" si="305"/>
        <v>58.5</v>
      </c>
      <c r="K279" s="106">
        <f t="shared" si="305"/>
        <v>50.625</v>
      </c>
      <c r="L279" s="106">
        <f t="shared" si="305"/>
        <v>50.625</v>
      </c>
      <c r="M279" s="106">
        <f t="shared" si="305"/>
        <v>50.625</v>
      </c>
      <c r="N279" s="106">
        <f t="shared" si="305"/>
        <v>50.625</v>
      </c>
      <c r="O279" s="106">
        <f t="shared" si="305"/>
        <v>50.625</v>
      </c>
      <c r="P279" s="106">
        <f t="shared" si="305"/>
        <v>50.625</v>
      </c>
      <c r="Q279" s="106">
        <f t="shared" si="305"/>
        <v>50.625</v>
      </c>
      <c r="R279" s="106">
        <f t="shared" si="305"/>
        <v>50.625</v>
      </c>
      <c r="S279" s="106">
        <f t="shared" si="305"/>
        <v>50.625</v>
      </c>
      <c r="T279" s="106">
        <f t="shared" si="305"/>
        <v>50.625</v>
      </c>
      <c r="U279" s="106">
        <f t="shared" si="305"/>
        <v>50.625</v>
      </c>
      <c r="V279" s="106">
        <f t="shared" si="305"/>
        <v>50.625</v>
      </c>
      <c r="W279" s="106">
        <f t="shared" si="305"/>
        <v>50.625</v>
      </c>
    </row>
    <row r="280" spans="1:23" hidden="1" outlineLevel="1" x14ac:dyDescent="0.3">
      <c r="A280" s="112">
        <v>2032</v>
      </c>
      <c r="B280" s="106">
        <f t="shared" si="304"/>
        <v>20</v>
      </c>
      <c r="C280" s="106">
        <f t="shared" si="302"/>
        <v>56.25</v>
      </c>
      <c r="D280" s="106">
        <f t="shared" si="302"/>
        <v>71</v>
      </c>
      <c r="E280" s="106"/>
      <c r="F280" s="106"/>
      <c r="G280" s="106"/>
      <c r="H280" s="106">
        <f t="shared" si="305"/>
        <v>56.25</v>
      </c>
      <c r="I280" s="106">
        <f t="shared" si="305"/>
        <v>56.25</v>
      </c>
      <c r="J280" s="106">
        <f t="shared" si="305"/>
        <v>63</v>
      </c>
      <c r="K280" s="106">
        <f t="shared" si="305"/>
        <v>56.25</v>
      </c>
      <c r="L280" s="106">
        <f t="shared" si="305"/>
        <v>56.25</v>
      </c>
      <c r="M280" s="106">
        <f t="shared" si="305"/>
        <v>56.25</v>
      </c>
      <c r="N280" s="106">
        <f t="shared" si="305"/>
        <v>56.25</v>
      </c>
      <c r="O280" s="106">
        <f t="shared" si="305"/>
        <v>56.25</v>
      </c>
      <c r="P280" s="106">
        <f t="shared" si="305"/>
        <v>56.25</v>
      </c>
      <c r="Q280" s="106">
        <f t="shared" si="305"/>
        <v>56.25</v>
      </c>
      <c r="R280" s="106">
        <f t="shared" si="305"/>
        <v>56.25</v>
      </c>
      <c r="S280" s="106">
        <f t="shared" si="305"/>
        <v>56.25</v>
      </c>
      <c r="T280" s="106">
        <f t="shared" si="305"/>
        <v>56.25</v>
      </c>
      <c r="U280" s="106">
        <f t="shared" si="305"/>
        <v>56.25</v>
      </c>
      <c r="V280" s="106">
        <f t="shared" si="305"/>
        <v>56.25</v>
      </c>
      <c r="W280" s="106">
        <f t="shared" si="305"/>
        <v>56.25</v>
      </c>
    </row>
    <row r="281" spans="1:23" hidden="1" outlineLevel="1" x14ac:dyDescent="0.3">
      <c r="A281" s="112">
        <v>2033</v>
      </c>
      <c r="B281" s="106">
        <f t="shared" si="304"/>
        <v>20</v>
      </c>
      <c r="C281" s="106">
        <f t="shared" si="302"/>
        <v>61.875</v>
      </c>
      <c r="D281" s="106">
        <f t="shared" si="302"/>
        <v>84</v>
      </c>
      <c r="E281" s="106"/>
      <c r="F281" s="106"/>
      <c r="G281" s="106"/>
      <c r="H281" s="106">
        <f t="shared" si="305"/>
        <v>61.875</v>
      </c>
      <c r="I281" s="106">
        <f t="shared" si="305"/>
        <v>61.875</v>
      </c>
      <c r="J281" s="106">
        <f t="shared" si="305"/>
        <v>67.5</v>
      </c>
      <c r="K281" s="106">
        <f t="shared" si="305"/>
        <v>61.875</v>
      </c>
      <c r="L281" s="106">
        <f t="shared" si="305"/>
        <v>61.875</v>
      </c>
      <c r="M281" s="106">
        <f t="shared" si="305"/>
        <v>61.875</v>
      </c>
      <c r="N281" s="106">
        <f t="shared" si="305"/>
        <v>61.875</v>
      </c>
      <c r="O281" s="106">
        <f t="shared" si="305"/>
        <v>61.875</v>
      </c>
      <c r="P281" s="106">
        <f t="shared" si="305"/>
        <v>61.875</v>
      </c>
      <c r="Q281" s="106">
        <f t="shared" si="305"/>
        <v>61.875</v>
      </c>
      <c r="R281" s="106">
        <f t="shared" si="305"/>
        <v>61.875</v>
      </c>
      <c r="S281" s="106">
        <f t="shared" si="305"/>
        <v>61.875</v>
      </c>
      <c r="T281" s="106">
        <f t="shared" si="305"/>
        <v>61.875</v>
      </c>
      <c r="U281" s="106">
        <f t="shared" si="305"/>
        <v>61.875</v>
      </c>
      <c r="V281" s="106">
        <f t="shared" si="305"/>
        <v>61.875</v>
      </c>
      <c r="W281" s="106">
        <f t="shared" si="305"/>
        <v>61.875</v>
      </c>
    </row>
    <row r="282" spans="1:23" hidden="1" outlineLevel="1" x14ac:dyDescent="0.3">
      <c r="A282" s="112">
        <v>2034</v>
      </c>
      <c r="B282" s="106">
        <f t="shared" si="304"/>
        <v>20</v>
      </c>
      <c r="C282" s="106">
        <f t="shared" si="302"/>
        <v>67.5</v>
      </c>
      <c r="D282" s="106">
        <f t="shared" si="302"/>
        <v>97</v>
      </c>
      <c r="E282" s="106"/>
      <c r="F282" s="106"/>
      <c r="G282" s="106"/>
      <c r="H282" s="106">
        <f t="shared" si="305"/>
        <v>67.5</v>
      </c>
      <c r="I282" s="106">
        <f t="shared" si="305"/>
        <v>67.5</v>
      </c>
      <c r="J282" s="106">
        <f t="shared" si="305"/>
        <v>72</v>
      </c>
      <c r="K282" s="106">
        <f t="shared" si="305"/>
        <v>67.5</v>
      </c>
      <c r="L282" s="106">
        <f t="shared" si="305"/>
        <v>67.5</v>
      </c>
      <c r="M282" s="106">
        <f t="shared" si="305"/>
        <v>67.5</v>
      </c>
      <c r="N282" s="106">
        <f t="shared" si="305"/>
        <v>67.5</v>
      </c>
      <c r="O282" s="106">
        <f t="shared" si="305"/>
        <v>67.5</v>
      </c>
      <c r="P282" s="106">
        <f t="shared" si="305"/>
        <v>67.5</v>
      </c>
      <c r="Q282" s="106">
        <f t="shared" si="305"/>
        <v>67.5</v>
      </c>
      <c r="R282" s="106">
        <f t="shared" si="305"/>
        <v>67.5</v>
      </c>
      <c r="S282" s="106">
        <f t="shared" si="305"/>
        <v>67.5</v>
      </c>
      <c r="T282" s="106">
        <f t="shared" si="305"/>
        <v>67.5</v>
      </c>
      <c r="U282" s="106">
        <f t="shared" si="305"/>
        <v>67.5</v>
      </c>
      <c r="V282" s="106">
        <f t="shared" si="305"/>
        <v>67.5</v>
      </c>
      <c r="W282" s="106">
        <f t="shared" si="305"/>
        <v>67.5</v>
      </c>
    </row>
    <row r="283" spans="1:23" hidden="1" outlineLevel="1" x14ac:dyDescent="0.3">
      <c r="A283" s="112">
        <v>2035</v>
      </c>
      <c r="B283" s="106">
        <f t="shared" si="304"/>
        <v>20</v>
      </c>
      <c r="C283" s="106">
        <f t="shared" si="302"/>
        <v>73.125</v>
      </c>
      <c r="D283" s="106">
        <f t="shared" si="302"/>
        <v>110</v>
      </c>
      <c r="E283" s="106"/>
      <c r="F283" s="106"/>
      <c r="G283" s="106"/>
      <c r="H283" s="106">
        <f t="shared" si="305"/>
        <v>73.125</v>
      </c>
      <c r="I283" s="106">
        <f t="shared" si="305"/>
        <v>73.125</v>
      </c>
      <c r="J283" s="106">
        <f t="shared" si="305"/>
        <v>76.5</v>
      </c>
      <c r="K283" s="106">
        <f t="shared" si="305"/>
        <v>73.125</v>
      </c>
      <c r="L283" s="106">
        <f t="shared" si="305"/>
        <v>73.125</v>
      </c>
      <c r="M283" s="106">
        <f t="shared" si="305"/>
        <v>73.125</v>
      </c>
      <c r="N283" s="106">
        <f t="shared" si="305"/>
        <v>73.125</v>
      </c>
      <c r="O283" s="106">
        <f t="shared" si="305"/>
        <v>73.125</v>
      </c>
      <c r="P283" s="106">
        <f t="shared" si="305"/>
        <v>73.125</v>
      </c>
      <c r="Q283" s="106">
        <f t="shared" si="305"/>
        <v>73.125</v>
      </c>
      <c r="R283" s="106">
        <f t="shared" si="305"/>
        <v>73.125</v>
      </c>
      <c r="S283" s="106">
        <f t="shared" si="305"/>
        <v>73.125</v>
      </c>
      <c r="T283" s="106">
        <f t="shared" si="305"/>
        <v>73.125</v>
      </c>
      <c r="U283" s="106">
        <f t="shared" si="305"/>
        <v>73.125</v>
      </c>
      <c r="V283" s="106">
        <f t="shared" si="305"/>
        <v>73.125</v>
      </c>
      <c r="W283" s="106">
        <f t="shared" si="305"/>
        <v>73.125</v>
      </c>
    </row>
    <row r="284" spans="1:23" hidden="1" outlineLevel="1" x14ac:dyDescent="0.3">
      <c r="A284" s="112">
        <v>2036</v>
      </c>
      <c r="B284" s="106">
        <f t="shared" si="304"/>
        <v>20</v>
      </c>
      <c r="C284" s="106">
        <f t="shared" si="302"/>
        <v>78.75</v>
      </c>
      <c r="D284" s="106">
        <f t="shared" si="302"/>
        <v>113.3</v>
      </c>
      <c r="E284" s="106"/>
      <c r="F284" s="106"/>
      <c r="G284" s="106"/>
      <c r="H284" s="106">
        <f t="shared" si="305"/>
        <v>78.75</v>
      </c>
      <c r="I284" s="106">
        <f t="shared" si="305"/>
        <v>78.75</v>
      </c>
      <c r="J284" s="106">
        <f t="shared" si="305"/>
        <v>81</v>
      </c>
      <c r="K284" s="106">
        <f t="shared" si="305"/>
        <v>78.75</v>
      </c>
      <c r="L284" s="106">
        <f t="shared" si="305"/>
        <v>78.75</v>
      </c>
      <c r="M284" s="106">
        <f t="shared" si="305"/>
        <v>78.75</v>
      </c>
      <c r="N284" s="106">
        <f t="shared" si="305"/>
        <v>78.75</v>
      </c>
      <c r="O284" s="106">
        <f t="shared" si="305"/>
        <v>78.75</v>
      </c>
      <c r="P284" s="106">
        <f t="shared" si="305"/>
        <v>78.75</v>
      </c>
      <c r="Q284" s="106">
        <f t="shared" si="305"/>
        <v>78.75</v>
      </c>
      <c r="R284" s="106">
        <f t="shared" si="305"/>
        <v>78.75</v>
      </c>
      <c r="S284" s="106">
        <f t="shared" si="305"/>
        <v>78.75</v>
      </c>
      <c r="T284" s="106">
        <f t="shared" si="305"/>
        <v>78.75</v>
      </c>
      <c r="U284" s="106">
        <f t="shared" si="305"/>
        <v>78.75</v>
      </c>
      <c r="V284" s="106">
        <f t="shared" si="305"/>
        <v>78.75</v>
      </c>
      <c r="W284" s="106">
        <f t="shared" si="305"/>
        <v>78.75</v>
      </c>
    </row>
    <row r="285" spans="1:23" hidden="1" outlineLevel="1" x14ac:dyDescent="0.3">
      <c r="A285" s="112">
        <v>2037</v>
      </c>
      <c r="B285" s="106">
        <f t="shared" si="304"/>
        <v>20</v>
      </c>
      <c r="C285" s="106">
        <f t="shared" si="302"/>
        <v>84.375</v>
      </c>
      <c r="D285" s="106">
        <f t="shared" si="302"/>
        <v>116.699</v>
      </c>
      <c r="E285" s="106"/>
      <c r="F285" s="106"/>
      <c r="G285" s="106"/>
      <c r="H285" s="106">
        <f t="shared" si="305"/>
        <v>84.375</v>
      </c>
      <c r="I285" s="106">
        <f t="shared" si="305"/>
        <v>84.375</v>
      </c>
      <c r="J285" s="106">
        <f t="shared" si="305"/>
        <v>85.5</v>
      </c>
      <c r="K285" s="106">
        <f t="shared" si="305"/>
        <v>84.375</v>
      </c>
      <c r="L285" s="106">
        <f t="shared" si="305"/>
        <v>84.375</v>
      </c>
      <c r="M285" s="106">
        <f t="shared" si="305"/>
        <v>84.375</v>
      </c>
      <c r="N285" s="106">
        <f t="shared" si="305"/>
        <v>84.375</v>
      </c>
      <c r="O285" s="106">
        <f t="shared" si="305"/>
        <v>84.375</v>
      </c>
      <c r="P285" s="106">
        <f t="shared" si="305"/>
        <v>84.375</v>
      </c>
      <c r="Q285" s="106">
        <f t="shared" si="305"/>
        <v>84.375</v>
      </c>
      <c r="R285" s="106">
        <f t="shared" si="305"/>
        <v>84.375</v>
      </c>
      <c r="S285" s="106">
        <f t="shared" si="305"/>
        <v>84.375</v>
      </c>
      <c r="T285" s="106">
        <f t="shared" si="305"/>
        <v>84.375</v>
      </c>
      <c r="U285" s="106">
        <f t="shared" si="305"/>
        <v>84.375</v>
      </c>
      <c r="V285" s="106">
        <f t="shared" si="305"/>
        <v>84.375</v>
      </c>
      <c r="W285" s="106">
        <f t="shared" si="305"/>
        <v>84.375</v>
      </c>
    </row>
    <row r="286" spans="1:23" hidden="1" outlineLevel="1" x14ac:dyDescent="0.3">
      <c r="A286" s="112">
        <v>2038</v>
      </c>
      <c r="B286" s="106">
        <f t="shared" si="304"/>
        <v>20</v>
      </c>
      <c r="C286" s="106">
        <f t="shared" si="302"/>
        <v>90</v>
      </c>
      <c r="D286" s="106">
        <f t="shared" si="302"/>
        <v>120.19997000000001</v>
      </c>
      <c r="E286" s="106"/>
      <c r="F286" s="106"/>
      <c r="G286" s="106"/>
      <c r="H286" s="106">
        <f t="shared" si="305"/>
        <v>90</v>
      </c>
      <c r="I286" s="106">
        <f t="shared" si="305"/>
        <v>90</v>
      </c>
      <c r="J286" s="106">
        <f t="shared" si="305"/>
        <v>90</v>
      </c>
      <c r="K286" s="106">
        <f t="shared" si="305"/>
        <v>90</v>
      </c>
      <c r="L286" s="106">
        <f t="shared" si="305"/>
        <v>90</v>
      </c>
      <c r="M286" s="106">
        <f t="shared" si="305"/>
        <v>90</v>
      </c>
      <c r="N286" s="106">
        <f t="shared" si="305"/>
        <v>90</v>
      </c>
      <c r="O286" s="106">
        <f t="shared" si="305"/>
        <v>90</v>
      </c>
      <c r="P286" s="106">
        <f t="shared" si="305"/>
        <v>90</v>
      </c>
      <c r="Q286" s="106">
        <f t="shared" si="305"/>
        <v>90</v>
      </c>
      <c r="R286" s="106">
        <f t="shared" si="305"/>
        <v>90</v>
      </c>
      <c r="S286" s="106">
        <f t="shared" si="305"/>
        <v>90</v>
      </c>
      <c r="T286" s="106">
        <f t="shared" si="305"/>
        <v>90</v>
      </c>
      <c r="U286" s="106">
        <f t="shared" si="305"/>
        <v>90</v>
      </c>
      <c r="V286" s="106">
        <f t="shared" si="305"/>
        <v>90</v>
      </c>
      <c r="W286" s="106">
        <f t="shared" si="305"/>
        <v>90</v>
      </c>
    </row>
    <row r="287" spans="1:23" hidden="1" outlineLevel="1" x14ac:dyDescent="0.3">
      <c r="A287" s="112">
        <v>2039</v>
      </c>
      <c r="B287" s="106">
        <f t="shared" si="304"/>
        <v>20</v>
      </c>
      <c r="C287" s="106">
        <f t="shared" si="302"/>
        <v>92.7</v>
      </c>
      <c r="D287" s="106">
        <f t="shared" si="302"/>
        <v>123.80596909999998</v>
      </c>
      <c r="E287" s="106"/>
      <c r="F287" s="106"/>
      <c r="G287" s="106"/>
      <c r="H287" s="106">
        <f t="shared" si="305"/>
        <v>92.7</v>
      </c>
      <c r="I287" s="106">
        <f t="shared" si="305"/>
        <v>92.7</v>
      </c>
      <c r="J287" s="106">
        <f t="shared" si="305"/>
        <v>92.7</v>
      </c>
      <c r="K287" s="106">
        <f t="shared" si="305"/>
        <v>92.7</v>
      </c>
      <c r="L287" s="106">
        <f t="shared" si="305"/>
        <v>92.7</v>
      </c>
      <c r="M287" s="106">
        <f t="shared" si="305"/>
        <v>92.7</v>
      </c>
      <c r="N287" s="106">
        <f t="shared" si="305"/>
        <v>92.7</v>
      </c>
      <c r="O287" s="106">
        <f t="shared" si="305"/>
        <v>92.7</v>
      </c>
      <c r="P287" s="106">
        <f t="shared" si="305"/>
        <v>92.7</v>
      </c>
      <c r="Q287" s="106">
        <f t="shared" si="305"/>
        <v>92.7</v>
      </c>
      <c r="R287" s="106">
        <f t="shared" si="305"/>
        <v>92.7</v>
      </c>
      <c r="S287" s="106">
        <f t="shared" si="305"/>
        <v>92.7</v>
      </c>
      <c r="T287" s="106">
        <f t="shared" si="305"/>
        <v>92.7</v>
      </c>
      <c r="U287" s="106">
        <f t="shared" si="305"/>
        <v>92.7</v>
      </c>
      <c r="V287" s="106">
        <f t="shared" si="305"/>
        <v>92.7</v>
      </c>
      <c r="W287" s="106">
        <f t="shared" si="305"/>
        <v>92.7</v>
      </c>
    </row>
    <row r="288" spans="1:23" hidden="1" outlineLevel="1" x14ac:dyDescent="0.3">
      <c r="A288" s="112">
        <v>2040</v>
      </c>
      <c r="B288" s="106">
        <f t="shared" si="304"/>
        <v>20</v>
      </c>
      <c r="C288" s="106">
        <f t="shared" si="302"/>
        <v>95.480999999999995</v>
      </c>
      <c r="D288" s="106">
        <f t="shared" si="302"/>
        <v>127.52014817299998</v>
      </c>
      <c r="E288" s="106"/>
      <c r="F288" s="106"/>
      <c r="G288" s="106"/>
      <c r="H288" s="106">
        <f t="shared" si="305"/>
        <v>95.480999999999995</v>
      </c>
      <c r="I288" s="106">
        <f t="shared" si="305"/>
        <v>95.480999999999995</v>
      </c>
      <c r="J288" s="106">
        <f t="shared" si="305"/>
        <v>95.480999999999995</v>
      </c>
      <c r="K288" s="106">
        <f t="shared" si="305"/>
        <v>95.480999999999995</v>
      </c>
      <c r="L288" s="106">
        <f t="shared" si="305"/>
        <v>95.480999999999995</v>
      </c>
      <c r="M288" s="106">
        <f t="shared" si="305"/>
        <v>95.480999999999995</v>
      </c>
      <c r="N288" s="106">
        <f t="shared" si="305"/>
        <v>95.480999999999995</v>
      </c>
      <c r="O288" s="106">
        <f t="shared" si="305"/>
        <v>95.480999999999995</v>
      </c>
      <c r="P288" s="106">
        <f t="shared" si="305"/>
        <v>95.480999999999995</v>
      </c>
      <c r="Q288" s="106">
        <f t="shared" si="305"/>
        <v>95.480999999999995</v>
      </c>
      <c r="R288" s="106">
        <f t="shared" si="305"/>
        <v>95.480999999999995</v>
      </c>
      <c r="S288" s="106">
        <f t="shared" si="305"/>
        <v>95.480999999999995</v>
      </c>
      <c r="T288" s="106">
        <f t="shared" si="305"/>
        <v>95.480999999999995</v>
      </c>
      <c r="U288" s="106">
        <f t="shared" si="305"/>
        <v>95.480999999999995</v>
      </c>
      <c r="V288" s="106">
        <f t="shared" si="305"/>
        <v>95.480999999999995</v>
      </c>
      <c r="W288" s="106">
        <f t="shared" si="305"/>
        <v>95.480999999999995</v>
      </c>
    </row>
    <row r="289" spans="1:23" hidden="1" outlineLevel="1" x14ac:dyDescent="0.3">
      <c r="A289" s="112">
        <v>2041</v>
      </c>
      <c r="B289" s="106">
        <f t="shared" si="304"/>
        <v>20</v>
      </c>
      <c r="C289" s="106">
        <f t="shared" si="302"/>
        <v>98.345429999999993</v>
      </c>
      <c r="D289" s="106">
        <f t="shared" si="302"/>
        <v>131.34575261818998</v>
      </c>
      <c r="E289" s="106"/>
      <c r="F289" s="106"/>
      <c r="G289" s="106"/>
      <c r="H289" s="106">
        <f t="shared" si="305"/>
        <v>98.345429999999993</v>
      </c>
      <c r="I289" s="106">
        <f t="shared" si="305"/>
        <v>98.345429999999993</v>
      </c>
      <c r="J289" s="106">
        <f t="shared" si="305"/>
        <v>98.345429999999993</v>
      </c>
      <c r="K289" s="106">
        <f t="shared" si="305"/>
        <v>98.345429999999993</v>
      </c>
      <c r="L289" s="106">
        <f t="shared" si="305"/>
        <v>98.345429999999993</v>
      </c>
      <c r="M289" s="106">
        <f t="shared" si="305"/>
        <v>98.345429999999993</v>
      </c>
      <c r="N289" s="106">
        <f t="shared" si="305"/>
        <v>98.345429999999993</v>
      </c>
      <c r="O289" s="106">
        <f t="shared" si="305"/>
        <v>98.345429999999993</v>
      </c>
      <c r="P289" s="106">
        <f t="shared" si="305"/>
        <v>98.345429999999993</v>
      </c>
      <c r="Q289" s="106">
        <f t="shared" si="305"/>
        <v>98.345429999999993</v>
      </c>
      <c r="R289" s="106">
        <f t="shared" si="305"/>
        <v>98.345429999999993</v>
      </c>
      <c r="S289" s="106">
        <f t="shared" si="305"/>
        <v>98.345429999999993</v>
      </c>
      <c r="T289" s="106">
        <f t="shared" si="305"/>
        <v>98.345429999999993</v>
      </c>
      <c r="U289" s="106">
        <f t="shared" si="305"/>
        <v>98.345429999999993</v>
      </c>
      <c r="V289" s="106">
        <f t="shared" si="305"/>
        <v>98.345429999999993</v>
      </c>
      <c r="W289" s="106">
        <f t="shared" si="305"/>
        <v>98.345429999999993</v>
      </c>
    </row>
    <row r="290" spans="1:23" hidden="1" outlineLevel="1" x14ac:dyDescent="0.3">
      <c r="A290" s="112">
        <v>2042</v>
      </c>
      <c r="B290" s="106">
        <f t="shared" si="304"/>
        <v>20</v>
      </c>
      <c r="C290" s="106">
        <f t="shared" si="302"/>
        <v>101.2957929</v>
      </c>
      <c r="D290" s="106">
        <f t="shared" si="302"/>
        <v>135.2861251967357</v>
      </c>
      <c r="E290" s="106"/>
      <c r="F290" s="106"/>
      <c r="G290" s="106"/>
      <c r="H290" s="106">
        <f t="shared" si="305"/>
        <v>101.2957929</v>
      </c>
      <c r="I290" s="106">
        <f t="shared" si="305"/>
        <v>101.2957929</v>
      </c>
      <c r="J290" s="106">
        <f t="shared" si="305"/>
        <v>101.2957929</v>
      </c>
      <c r="K290" s="106">
        <f t="shared" si="305"/>
        <v>101.2957929</v>
      </c>
      <c r="L290" s="106">
        <f t="shared" si="305"/>
        <v>101.2957929</v>
      </c>
      <c r="M290" s="106">
        <f t="shared" si="305"/>
        <v>101.2957929</v>
      </c>
      <c r="N290" s="106">
        <f t="shared" si="305"/>
        <v>101.2957929</v>
      </c>
      <c r="O290" s="106">
        <f t="shared" si="305"/>
        <v>101.2957929</v>
      </c>
      <c r="P290" s="106">
        <f t="shared" si="305"/>
        <v>101.2957929</v>
      </c>
      <c r="Q290" s="106">
        <f t="shared" si="305"/>
        <v>101.2957929</v>
      </c>
      <c r="R290" s="106">
        <f t="shared" si="305"/>
        <v>101.2957929</v>
      </c>
      <c r="S290" s="106">
        <f t="shared" si="305"/>
        <v>101.2957929</v>
      </c>
      <c r="T290" s="106">
        <f t="shared" si="305"/>
        <v>101.2957929</v>
      </c>
      <c r="U290" s="106">
        <f t="shared" ref="I290:W305" si="306">IF($A290&lt;U$29,0,IF($A290&gt;=U$272,U$271*(1+U$273)^($A290-U$272),U$30+(U$271-U$30)*($A290-U$29)/(U$272-U$29)))</f>
        <v>101.2957929</v>
      </c>
      <c r="V290" s="106">
        <f t="shared" si="306"/>
        <v>101.2957929</v>
      </c>
      <c r="W290" s="106">
        <f t="shared" si="306"/>
        <v>101.2957929</v>
      </c>
    </row>
    <row r="291" spans="1:23" hidden="1" outlineLevel="1" x14ac:dyDescent="0.3">
      <c r="A291" s="112">
        <v>2043</v>
      </c>
      <c r="B291" s="106">
        <f t="shared" si="304"/>
        <v>20</v>
      </c>
      <c r="C291" s="106">
        <f t="shared" si="304"/>
        <v>104.33466668699998</v>
      </c>
      <c r="D291" s="106">
        <f t="shared" si="304"/>
        <v>139.34470895263775</v>
      </c>
      <c r="E291" s="106"/>
      <c r="F291" s="106"/>
      <c r="G291" s="106"/>
      <c r="H291" s="106">
        <f t="shared" si="305"/>
        <v>104.33466668699998</v>
      </c>
      <c r="I291" s="106">
        <f t="shared" si="306"/>
        <v>104.33466668699998</v>
      </c>
      <c r="J291" s="106">
        <f t="shared" si="306"/>
        <v>104.33466668699998</v>
      </c>
      <c r="K291" s="106">
        <f t="shared" si="306"/>
        <v>104.33466668699998</v>
      </c>
      <c r="L291" s="106">
        <f t="shared" si="306"/>
        <v>104.33466668699998</v>
      </c>
      <c r="M291" s="106">
        <f t="shared" si="306"/>
        <v>104.33466668699998</v>
      </c>
      <c r="N291" s="106">
        <f t="shared" si="306"/>
        <v>104.33466668699998</v>
      </c>
      <c r="O291" s="106">
        <f t="shared" si="306"/>
        <v>104.33466668699998</v>
      </c>
      <c r="P291" s="106">
        <f t="shared" si="306"/>
        <v>104.33466668699998</v>
      </c>
      <c r="Q291" s="106">
        <f t="shared" si="306"/>
        <v>104.33466668699998</v>
      </c>
      <c r="R291" s="106">
        <f t="shared" si="306"/>
        <v>104.33466668699998</v>
      </c>
      <c r="S291" s="106">
        <f t="shared" si="306"/>
        <v>104.33466668699998</v>
      </c>
      <c r="T291" s="106">
        <f t="shared" si="306"/>
        <v>104.33466668699998</v>
      </c>
      <c r="U291" s="106">
        <f t="shared" si="306"/>
        <v>104.33466668699998</v>
      </c>
      <c r="V291" s="106">
        <f t="shared" si="306"/>
        <v>104.33466668699998</v>
      </c>
      <c r="W291" s="106">
        <f t="shared" si="306"/>
        <v>104.33466668699998</v>
      </c>
    </row>
    <row r="292" spans="1:23" hidden="1" outlineLevel="1" x14ac:dyDescent="0.3">
      <c r="A292" s="112">
        <v>2044</v>
      </c>
      <c r="B292" s="106">
        <f t="shared" si="304"/>
        <v>20</v>
      </c>
      <c r="C292" s="106">
        <f t="shared" si="304"/>
        <v>107.46470668760999</v>
      </c>
      <c r="D292" s="106">
        <f t="shared" si="304"/>
        <v>143.5250502212169</v>
      </c>
      <c r="E292" s="106"/>
      <c r="F292" s="106"/>
      <c r="G292" s="106"/>
      <c r="H292" s="106">
        <f t="shared" si="305"/>
        <v>107.46470668760999</v>
      </c>
      <c r="I292" s="106">
        <f t="shared" si="306"/>
        <v>107.46470668760999</v>
      </c>
      <c r="J292" s="106">
        <f t="shared" si="306"/>
        <v>107.46470668760999</v>
      </c>
      <c r="K292" s="106">
        <f t="shared" si="306"/>
        <v>107.46470668760999</v>
      </c>
      <c r="L292" s="106">
        <f t="shared" si="306"/>
        <v>107.46470668760999</v>
      </c>
      <c r="M292" s="106">
        <f t="shared" si="306"/>
        <v>107.46470668760999</v>
      </c>
      <c r="N292" s="106">
        <f t="shared" si="306"/>
        <v>107.46470668760999</v>
      </c>
      <c r="O292" s="106">
        <f t="shared" si="306"/>
        <v>107.46470668760999</v>
      </c>
      <c r="P292" s="106">
        <f t="shared" si="306"/>
        <v>107.46470668760999</v>
      </c>
      <c r="Q292" s="106">
        <f t="shared" si="306"/>
        <v>107.46470668760999</v>
      </c>
      <c r="R292" s="106">
        <f t="shared" si="306"/>
        <v>107.46470668760999</v>
      </c>
      <c r="S292" s="106">
        <f t="shared" si="306"/>
        <v>107.46470668760999</v>
      </c>
      <c r="T292" s="106">
        <f t="shared" si="306"/>
        <v>107.46470668760999</v>
      </c>
      <c r="U292" s="106">
        <f t="shared" si="306"/>
        <v>107.46470668760999</v>
      </c>
      <c r="V292" s="106">
        <f t="shared" si="306"/>
        <v>107.46470668760999</v>
      </c>
      <c r="W292" s="106">
        <f t="shared" si="306"/>
        <v>107.46470668760999</v>
      </c>
    </row>
    <row r="293" spans="1:23" hidden="1" outlineLevel="1" x14ac:dyDescent="0.3">
      <c r="A293" s="112">
        <v>2045</v>
      </c>
      <c r="B293" s="106">
        <f t="shared" si="304"/>
        <v>20</v>
      </c>
      <c r="C293" s="106">
        <f t="shared" si="304"/>
        <v>110.68864788823829</v>
      </c>
      <c r="D293" s="106">
        <f t="shared" si="304"/>
        <v>147.83080172785338</v>
      </c>
      <c r="E293" s="106"/>
      <c r="F293" s="106"/>
      <c r="G293" s="106"/>
      <c r="H293" s="106">
        <f t="shared" si="305"/>
        <v>110.68864788823829</v>
      </c>
      <c r="I293" s="106">
        <f t="shared" si="306"/>
        <v>110.68864788823829</v>
      </c>
      <c r="J293" s="106">
        <f t="shared" si="306"/>
        <v>110.68864788823829</v>
      </c>
      <c r="K293" s="106">
        <f t="shared" si="306"/>
        <v>110.68864788823829</v>
      </c>
      <c r="L293" s="106">
        <f t="shared" si="306"/>
        <v>110.68864788823829</v>
      </c>
      <c r="M293" s="106">
        <f t="shared" si="306"/>
        <v>110.68864788823829</v>
      </c>
      <c r="N293" s="106">
        <f t="shared" si="306"/>
        <v>110.68864788823829</v>
      </c>
      <c r="O293" s="106">
        <f t="shared" si="306"/>
        <v>110.68864788823829</v>
      </c>
      <c r="P293" s="106">
        <f t="shared" si="306"/>
        <v>110.68864788823829</v>
      </c>
      <c r="Q293" s="106">
        <f t="shared" si="306"/>
        <v>110.68864788823829</v>
      </c>
      <c r="R293" s="106">
        <f t="shared" si="306"/>
        <v>110.68864788823829</v>
      </c>
      <c r="S293" s="106">
        <f t="shared" si="306"/>
        <v>110.68864788823829</v>
      </c>
      <c r="T293" s="106">
        <f t="shared" si="306"/>
        <v>110.68864788823829</v>
      </c>
      <c r="U293" s="106">
        <f t="shared" si="306"/>
        <v>110.68864788823829</v>
      </c>
      <c r="V293" s="106">
        <f t="shared" si="306"/>
        <v>110.68864788823829</v>
      </c>
      <c r="W293" s="106">
        <f t="shared" si="306"/>
        <v>110.68864788823829</v>
      </c>
    </row>
    <row r="294" spans="1:23" hidden="1" outlineLevel="1" x14ac:dyDescent="0.3">
      <c r="A294" s="112">
        <v>2046</v>
      </c>
      <c r="B294" s="106">
        <f t="shared" si="304"/>
        <v>20</v>
      </c>
      <c r="C294" s="106">
        <f t="shared" si="304"/>
        <v>114.00930732488544</v>
      </c>
      <c r="D294" s="106">
        <f t="shared" si="304"/>
        <v>152.26572577968901</v>
      </c>
      <c r="E294" s="106"/>
      <c r="F294" s="106"/>
      <c r="G294" s="106"/>
      <c r="H294" s="106">
        <f t="shared" si="305"/>
        <v>114.00930732488544</v>
      </c>
      <c r="I294" s="106">
        <f t="shared" si="306"/>
        <v>114.00930732488544</v>
      </c>
      <c r="J294" s="106">
        <f t="shared" si="306"/>
        <v>114.00930732488544</v>
      </c>
      <c r="K294" s="106">
        <f t="shared" si="306"/>
        <v>114.00930732488544</v>
      </c>
      <c r="L294" s="106">
        <f t="shared" si="306"/>
        <v>114.00930732488544</v>
      </c>
      <c r="M294" s="106">
        <f t="shared" si="306"/>
        <v>114.00930732488544</v>
      </c>
      <c r="N294" s="106">
        <f t="shared" si="306"/>
        <v>114.00930732488544</v>
      </c>
      <c r="O294" s="106">
        <f t="shared" si="306"/>
        <v>114.00930732488544</v>
      </c>
      <c r="P294" s="106">
        <f t="shared" si="306"/>
        <v>114.00930732488544</v>
      </c>
      <c r="Q294" s="106">
        <f t="shared" si="306"/>
        <v>114.00930732488544</v>
      </c>
      <c r="R294" s="106">
        <f t="shared" si="306"/>
        <v>114.00930732488544</v>
      </c>
      <c r="S294" s="106">
        <f t="shared" si="306"/>
        <v>114.00930732488544</v>
      </c>
      <c r="T294" s="106">
        <f t="shared" si="306"/>
        <v>114.00930732488544</v>
      </c>
      <c r="U294" s="106">
        <f t="shared" si="306"/>
        <v>114.00930732488544</v>
      </c>
      <c r="V294" s="106">
        <f t="shared" si="306"/>
        <v>114.00930732488544</v>
      </c>
      <c r="W294" s="106">
        <f t="shared" si="306"/>
        <v>114.00930732488544</v>
      </c>
    </row>
    <row r="295" spans="1:23" hidden="1" outlineLevel="1" x14ac:dyDescent="0.3">
      <c r="A295" s="112">
        <v>2047</v>
      </c>
      <c r="B295" s="106">
        <f t="shared" si="304"/>
        <v>20</v>
      </c>
      <c r="C295" s="106">
        <f t="shared" si="304"/>
        <v>117.429586544632</v>
      </c>
      <c r="D295" s="106">
        <f t="shared" si="304"/>
        <v>156.83369755307965</v>
      </c>
      <c r="E295" s="106"/>
      <c r="F295" s="106"/>
      <c r="G295" s="106"/>
      <c r="H295" s="106">
        <f t="shared" si="305"/>
        <v>117.429586544632</v>
      </c>
      <c r="I295" s="106">
        <f t="shared" si="306"/>
        <v>117.429586544632</v>
      </c>
      <c r="J295" s="106">
        <f t="shared" si="306"/>
        <v>117.429586544632</v>
      </c>
      <c r="K295" s="106">
        <f t="shared" si="306"/>
        <v>117.429586544632</v>
      </c>
      <c r="L295" s="106">
        <f t="shared" si="306"/>
        <v>117.429586544632</v>
      </c>
      <c r="M295" s="106">
        <f t="shared" si="306"/>
        <v>117.429586544632</v>
      </c>
      <c r="N295" s="106">
        <f t="shared" si="306"/>
        <v>117.429586544632</v>
      </c>
      <c r="O295" s="106">
        <f t="shared" si="306"/>
        <v>117.429586544632</v>
      </c>
      <c r="P295" s="106">
        <f t="shared" si="306"/>
        <v>117.429586544632</v>
      </c>
      <c r="Q295" s="106">
        <f t="shared" si="306"/>
        <v>117.429586544632</v>
      </c>
      <c r="R295" s="106">
        <f t="shared" si="306"/>
        <v>117.429586544632</v>
      </c>
      <c r="S295" s="106">
        <f t="shared" si="306"/>
        <v>117.429586544632</v>
      </c>
      <c r="T295" s="106">
        <f t="shared" si="306"/>
        <v>117.429586544632</v>
      </c>
      <c r="U295" s="106">
        <f t="shared" si="306"/>
        <v>117.429586544632</v>
      </c>
      <c r="V295" s="106">
        <f t="shared" si="306"/>
        <v>117.429586544632</v>
      </c>
      <c r="W295" s="106">
        <f t="shared" si="306"/>
        <v>117.429586544632</v>
      </c>
    </row>
    <row r="296" spans="1:23" hidden="1" outlineLevel="1" x14ac:dyDescent="0.3">
      <c r="A296" s="112">
        <v>2048</v>
      </c>
      <c r="B296" s="106">
        <f t="shared" si="304"/>
        <v>20</v>
      </c>
      <c r="C296" s="106">
        <f t="shared" si="304"/>
        <v>120.95247414097096</v>
      </c>
      <c r="D296" s="106">
        <f t="shared" si="304"/>
        <v>161.53870847967204</v>
      </c>
      <c r="E296" s="106"/>
      <c r="F296" s="106"/>
      <c r="G296" s="106"/>
      <c r="H296" s="106">
        <f t="shared" si="305"/>
        <v>120.95247414097096</v>
      </c>
      <c r="I296" s="106">
        <f t="shared" si="306"/>
        <v>120.95247414097096</v>
      </c>
      <c r="J296" s="106">
        <f t="shared" si="306"/>
        <v>120.95247414097096</v>
      </c>
      <c r="K296" s="106">
        <f t="shared" si="306"/>
        <v>120.95247414097096</v>
      </c>
      <c r="L296" s="106">
        <f t="shared" si="306"/>
        <v>120.95247414097096</v>
      </c>
      <c r="M296" s="106">
        <f t="shared" si="306"/>
        <v>120.95247414097096</v>
      </c>
      <c r="N296" s="106">
        <f t="shared" si="306"/>
        <v>120.95247414097096</v>
      </c>
      <c r="O296" s="106">
        <f t="shared" si="306"/>
        <v>120.95247414097096</v>
      </c>
      <c r="P296" s="106">
        <f t="shared" si="306"/>
        <v>120.95247414097096</v>
      </c>
      <c r="Q296" s="106">
        <f t="shared" si="306"/>
        <v>120.95247414097096</v>
      </c>
      <c r="R296" s="106">
        <f t="shared" si="306"/>
        <v>120.95247414097096</v>
      </c>
      <c r="S296" s="106">
        <f t="shared" si="306"/>
        <v>120.95247414097096</v>
      </c>
      <c r="T296" s="106">
        <f t="shared" si="306"/>
        <v>120.95247414097096</v>
      </c>
      <c r="U296" s="106">
        <f t="shared" si="306"/>
        <v>120.95247414097096</v>
      </c>
      <c r="V296" s="106">
        <f t="shared" si="306"/>
        <v>120.95247414097096</v>
      </c>
      <c r="W296" s="106">
        <f t="shared" si="306"/>
        <v>120.95247414097096</v>
      </c>
    </row>
    <row r="297" spans="1:23" hidden="1" outlineLevel="1" x14ac:dyDescent="0.3">
      <c r="A297" s="112">
        <v>2049</v>
      </c>
      <c r="B297" s="106">
        <f t="shared" si="304"/>
        <v>20</v>
      </c>
      <c r="C297" s="106">
        <f t="shared" si="304"/>
        <v>124.58104836520009</v>
      </c>
      <c r="D297" s="106">
        <f t="shared" si="304"/>
        <v>166.38486973406222</v>
      </c>
      <c r="E297" s="106"/>
      <c r="F297" s="106"/>
      <c r="G297" s="106"/>
      <c r="H297" s="106">
        <f t="shared" si="305"/>
        <v>124.58104836520009</v>
      </c>
      <c r="I297" s="106">
        <f t="shared" si="306"/>
        <v>124.58104836520009</v>
      </c>
      <c r="J297" s="106">
        <f t="shared" si="306"/>
        <v>124.58104836520009</v>
      </c>
      <c r="K297" s="106">
        <f t="shared" si="306"/>
        <v>124.58104836520009</v>
      </c>
      <c r="L297" s="106">
        <f t="shared" si="306"/>
        <v>124.58104836520009</v>
      </c>
      <c r="M297" s="106">
        <f t="shared" si="306"/>
        <v>124.58104836520009</v>
      </c>
      <c r="N297" s="106">
        <f t="shared" si="306"/>
        <v>124.58104836520009</v>
      </c>
      <c r="O297" s="106">
        <f t="shared" si="306"/>
        <v>124.58104836520009</v>
      </c>
      <c r="P297" s="106">
        <f t="shared" si="306"/>
        <v>124.58104836520009</v>
      </c>
      <c r="Q297" s="106">
        <f t="shared" si="306"/>
        <v>124.58104836520009</v>
      </c>
      <c r="R297" s="106">
        <f t="shared" si="306"/>
        <v>124.58104836520009</v>
      </c>
      <c r="S297" s="106">
        <f t="shared" si="306"/>
        <v>124.58104836520009</v>
      </c>
      <c r="T297" s="106">
        <f t="shared" si="306"/>
        <v>124.58104836520009</v>
      </c>
      <c r="U297" s="106">
        <f t="shared" si="306"/>
        <v>124.58104836520009</v>
      </c>
      <c r="V297" s="106">
        <f t="shared" si="306"/>
        <v>124.58104836520009</v>
      </c>
      <c r="W297" s="106">
        <f t="shared" si="306"/>
        <v>124.58104836520009</v>
      </c>
    </row>
    <row r="298" spans="1:23" hidden="1" outlineLevel="1" x14ac:dyDescent="0.3">
      <c r="A298" s="112">
        <v>2050</v>
      </c>
      <c r="B298" s="106">
        <f t="shared" si="304"/>
        <v>20</v>
      </c>
      <c r="C298" s="106">
        <f t="shared" si="304"/>
        <v>128.31847981615607</v>
      </c>
      <c r="D298" s="106">
        <f t="shared" si="304"/>
        <v>171.3764158260841</v>
      </c>
      <c r="E298" s="106"/>
      <c r="F298" s="106"/>
      <c r="G298" s="106"/>
      <c r="H298" s="106">
        <f t="shared" si="305"/>
        <v>128.31847981615607</v>
      </c>
      <c r="I298" s="106">
        <f t="shared" si="306"/>
        <v>128.31847981615607</v>
      </c>
      <c r="J298" s="106">
        <f t="shared" si="306"/>
        <v>128.31847981615607</v>
      </c>
      <c r="K298" s="106">
        <f t="shared" si="306"/>
        <v>128.31847981615607</v>
      </c>
      <c r="L298" s="106">
        <f t="shared" si="306"/>
        <v>128.31847981615607</v>
      </c>
      <c r="M298" s="106">
        <f t="shared" si="306"/>
        <v>128.31847981615607</v>
      </c>
      <c r="N298" s="106">
        <f t="shared" si="306"/>
        <v>128.31847981615607</v>
      </c>
      <c r="O298" s="106">
        <f t="shared" si="306"/>
        <v>128.31847981615607</v>
      </c>
      <c r="P298" s="106">
        <f t="shared" si="306"/>
        <v>128.31847981615607</v>
      </c>
      <c r="Q298" s="106">
        <f t="shared" si="306"/>
        <v>128.31847981615607</v>
      </c>
      <c r="R298" s="106">
        <f t="shared" si="306"/>
        <v>128.31847981615607</v>
      </c>
      <c r="S298" s="106">
        <f t="shared" si="306"/>
        <v>128.31847981615607</v>
      </c>
      <c r="T298" s="106">
        <f t="shared" si="306"/>
        <v>128.31847981615607</v>
      </c>
      <c r="U298" s="106">
        <f t="shared" si="306"/>
        <v>128.31847981615607</v>
      </c>
      <c r="V298" s="106">
        <f t="shared" si="306"/>
        <v>128.31847981615607</v>
      </c>
      <c r="W298" s="106">
        <f t="shared" si="306"/>
        <v>128.31847981615607</v>
      </c>
    </row>
    <row r="299" spans="1:23" hidden="1" outlineLevel="1" x14ac:dyDescent="0.3">
      <c r="A299" s="112">
        <v>2051</v>
      </c>
      <c r="B299" s="106">
        <f t="shared" si="304"/>
        <v>20</v>
      </c>
      <c r="C299" s="106">
        <f t="shared" si="304"/>
        <v>132.16803421064074</v>
      </c>
      <c r="D299" s="106">
        <f t="shared" si="304"/>
        <v>176.51770830086659</v>
      </c>
      <c r="E299" s="106"/>
      <c r="F299" s="106"/>
      <c r="G299" s="106"/>
      <c r="H299" s="106">
        <f t="shared" si="305"/>
        <v>132.16803421064074</v>
      </c>
      <c r="I299" s="106">
        <f t="shared" si="306"/>
        <v>132.16803421064074</v>
      </c>
      <c r="J299" s="106">
        <f t="shared" si="306"/>
        <v>132.16803421064074</v>
      </c>
      <c r="K299" s="106">
        <f t="shared" si="306"/>
        <v>132.16803421064074</v>
      </c>
      <c r="L299" s="106">
        <f t="shared" si="306"/>
        <v>132.16803421064074</v>
      </c>
      <c r="M299" s="106">
        <f t="shared" si="306"/>
        <v>132.16803421064074</v>
      </c>
      <c r="N299" s="106">
        <f t="shared" si="306"/>
        <v>132.16803421064074</v>
      </c>
      <c r="O299" s="106">
        <f t="shared" si="306"/>
        <v>132.16803421064074</v>
      </c>
      <c r="P299" s="106">
        <f t="shared" si="306"/>
        <v>132.16803421064074</v>
      </c>
      <c r="Q299" s="106">
        <f t="shared" si="306"/>
        <v>132.16803421064074</v>
      </c>
      <c r="R299" s="106">
        <f t="shared" si="306"/>
        <v>132.16803421064074</v>
      </c>
      <c r="S299" s="106">
        <f t="shared" si="306"/>
        <v>132.16803421064074</v>
      </c>
      <c r="T299" s="106">
        <f t="shared" si="306"/>
        <v>132.16803421064074</v>
      </c>
      <c r="U299" s="106">
        <f t="shared" si="306"/>
        <v>132.16803421064074</v>
      </c>
      <c r="V299" s="106">
        <f t="shared" si="306"/>
        <v>132.16803421064074</v>
      </c>
      <c r="W299" s="106">
        <f t="shared" si="306"/>
        <v>132.16803421064074</v>
      </c>
    </row>
    <row r="300" spans="1:23" hidden="1" outlineLevel="1" x14ac:dyDescent="0.3">
      <c r="A300" s="112">
        <v>2052</v>
      </c>
      <c r="B300" s="106">
        <f t="shared" si="304"/>
        <v>20</v>
      </c>
      <c r="C300" s="106">
        <f t="shared" si="304"/>
        <v>136.13307523696</v>
      </c>
      <c r="D300" s="106">
        <f t="shared" si="304"/>
        <v>181.81323954989259</v>
      </c>
      <c r="E300" s="106"/>
      <c r="F300" s="106"/>
      <c r="G300" s="106"/>
      <c r="H300" s="106">
        <f t="shared" si="305"/>
        <v>136.13307523696</v>
      </c>
      <c r="I300" s="106">
        <f t="shared" si="306"/>
        <v>136.13307523696</v>
      </c>
      <c r="J300" s="106">
        <f t="shared" si="306"/>
        <v>136.13307523696</v>
      </c>
      <c r="K300" s="106">
        <f t="shared" si="306"/>
        <v>136.13307523696</v>
      </c>
      <c r="L300" s="106">
        <f t="shared" si="306"/>
        <v>136.13307523696</v>
      </c>
      <c r="M300" s="106">
        <f t="shared" si="306"/>
        <v>136.13307523696</v>
      </c>
      <c r="N300" s="106">
        <f t="shared" si="306"/>
        <v>136.13307523696</v>
      </c>
      <c r="O300" s="106">
        <f t="shared" si="306"/>
        <v>136.13307523696</v>
      </c>
      <c r="P300" s="106">
        <f t="shared" si="306"/>
        <v>136.13307523696</v>
      </c>
      <c r="Q300" s="106">
        <f t="shared" si="306"/>
        <v>136.13307523696</v>
      </c>
      <c r="R300" s="106">
        <f t="shared" si="306"/>
        <v>136.13307523696</v>
      </c>
      <c r="S300" s="106">
        <f t="shared" si="306"/>
        <v>136.13307523696</v>
      </c>
      <c r="T300" s="106">
        <f t="shared" si="306"/>
        <v>136.13307523696</v>
      </c>
      <c r="U300" s="106">
        <f t="shared" si="306"/>
        <v>136.13307523696</v>
      </c>
      <c r="V300" s="106">
        <f t="shared" si="306"/>
        <v>136.13307523696</v>
      </c>
      <c r="W300" s="106">
        <f t="shared" si="306"/>
        <v>136.13307523696</v>
      </c>
    </row>
    <row r="301" spans="1:23" hidden="1" outlineLevel="1" x14ac:dyDescent="0.3">
      <c r="A301" s="112">
        <v>2053</v>
      </c>
      <c r="B301" s="106">
        <f t="shared" si="304"/>
        <v>20</v>
      </c>
      <c r="C301" s="106">
        <f t="shared" si="304"/>
        <v>140.2170674940688</v>
      </c>
      <c r="D301" s="106">
        <f t="shared" si="304"/>
        <v>187.26763673638936</v>
      </c>
      <c r="E301" s="106"/>
      <c r="F301" s="106"/>
      <c r="G301" s="106"/>
      <c r="H301" s="106">
        <f t="shared" si="305"/>
        <v>140.2170674940688</v>
      </c>
      <c r="I301" s="106">
        <f t="shared" si="306"/>
        <v>140.2170674940688</v>
      </c>
      <c r="J301" s="106">
        <f t="shared" si="306"/>
        <v>140.2170674940688</v>
      </c>
      <c r="K301" s="106">
        <f t="shared" si="306"/>
        <v>140.2170674940688</v>
      </c>
      <c r="L301" s="106">
        <f t="shared" si="306"/>
        <v>140.2170674940688</v>
      </c>
      <c r="M301" s="106">
        <f t="shared" si="306"/>
        <v>140.2170674940688</v>
      </c>
      <c r="N301" s="106">
        <f t="shared" si="306"/>
        <v>140.2170674940688</v>
      </c>
      <c r="O301" s="106">
        <f t="shared" si="306"/>
        <v>140.2170674940688</v>
      </c>
      <c r="P301" s="106">
        <f t="shared" si="306"/>
        <v>140.2170674940688</v>
      </c>
      <c r="Q301" s="106">
        <f t="shared" si="306"/>
        <v>140.2170674940688</v>
      </c>
      <c r="R301" s="106">
        <f t="shared" si="306"/>
        <v>140.2170674940688</v>
      </c>
      <c r="S301" s="106">
        <f t="shared" si="306"/>
        <v>140.2170674940688</v>
      </c>
      <c r="T301" s="106">
        <f t="shared" si="306"/>
        <v>140.2170674940688</v>
      </c>
      <c r="U301" s="106">
        <f t="shared" si="306"/>
        <v>140.2170674940688</v>
      </c>
      <c r="V301" s="106">
        <f t="shared" si="306"/>
        <v>140.2170674940688</v>
      </c>
      <c r="W301" s="106">
        <f t="shared" si="306"/>
        <v>140.2170674940688</v>
      </c>
    </row>
    <row r="302" spans="1:23" hidden="1" outlineLevel="1" x14ac:dyDescent="0.3">
      <c r="A302" s="112">
        <v>2054</v>
      </c>
      <c r="B302" s="106">
        <f t="shared" si="304"/>
        <v>20</v>
      </c>
      <c r="C302" s="106">
        <f t="shared" si="304"/>
        <v>144.42357951889085</v>
      </c>
      <c r="D302" s="106">
        <f t="shared" si="304"/>
        <v>192.88566583848103</v>
      </c>
      <c r="E302" s="106"/>
      <c r="F302" s="106"/>
      <c r="G302" s="106"/>
      <c r="H302" s="106">
        <f t="shared" si="305"/>
        <v>144.42357951889085</v>
      </c>
      <c r="I302" s="106">
        <f t="shared" si="306"/>
        <v>144.42357951889085</v>
      </c>
      <c r="J302" s="106">
        <f t="shared" si="306"/>
        <v>144.42357951889085</v>
      </c>
      <c r="K302" s="106">
        <f t="shared" si="306"/>
        <v>144.42357951889085</v>
      </c>
      <c r="L302" s="106">
        <f t="shared" si="306"/>
        <v>144.42357951889085</v>
      </c>
      <c r="M302" s="106">
        <f t="shared" si="306"/>
        <v>144.42357951889085</v>
      </c>
      <c r="N302" s="106">
        <f t="shared" si="306"/>
        <v>144.42357951889085</v>
      </c>
      <c r="O302" s="106">
        <f t="shared" si="306"/>
        <v>144.42357951889085</v>
      </c>
      <c r="P302" s="106">
        <f t="shared" si="306"/>
        <v>144.42357951889085</v>
      </c>
      <c r="Q302" s="106">
        <f t="shared" si="306"/>
        <v>144.42357951889085</v>
      </c>
      <c r="R302" s="106">
        <f t="shared" si="306"/>
        <v>144.42357951889085</v>
      </c>
      <c r="S302" s="106">
        <f t="shared" si="306"/>
        <v>144.42357951889085</v>
      </c>
      <c r="T302" s="106">
        <f t="shared" si="306"/>
        <v>144.42357951889085</v>
      </c>
      <c r="U302" s="106">
        <f t="shared" si="306"/>
        <v>144.42357951889085</v>
      </c>
      <c r="V302" s="106">
        <f t="shared" si="306"/>
        <v>144.42357951889085</v>
      </c>
      <c r="W302" s="106">
        <f t="shared" si="306"/>
        <v>144.42357951889085</v>
      </c>
    </row>
    <row r="303" spans="1:23" hidden="1" outlineLevel="1" x14ac:dyDescent="0.3">
      <c r="A303" s="112">
        <v>2055</v>
      </c>
      <c r="B303" s="106">
        <f t="shared" si="304"/>
        <v>20</v>
      </c>
      <c r="C303" s="106">
        <f t="shared" si="304"/>
        <v>148.75628690445757</v>
      </c>
      <c r="D303" s="106">
        <f t="shared" si="304"/>
        <v>198.67223581363547</v>
      </c>
      <c r="E303" s="106"/>
      <c r="F303" s="106"/>
      <c r="G303" s="106"/>
      <c r="H303" s="106">
        <f t="shared" si="305"/>
        <v>148.75628690445757</v>
      </c>
      <c r="I303" s="106">
        <f t="shared" si="306"/>
        <v>148.75628690445757</v>
      </c>
      <c r="J303" s="106">
        <f t="shared" si="306"/>
        <v>148.75628690445757</v>
      </c>
      <c r="K303" s="106">
        <f t="shared" si="306"/>
        <v>148.75628690445757</v>
      </c>
      <c r="L303" s="106">
        <f t="shared" si="306"/>
        <v>148.75628690445757</v>
      </c>
      <c r="M303" s="106">
        <f t="shared" si="306"/>
        <v>148.75628690445757</v>
      </c>
      <c r="N303" s="106">
        <f t="shared" si="306"/>
        <v>148.75628690445757</v>
      </c>
      <c r="O303" s="106">
        <f t="shared" si="306"/>
        <v>148.75628690445757</v>
      </c>
      <c r="P303" s="106">
        <f t="shared" si="306"/>
        <v>148.75628690445757</v>
      </c>
      <c r="Q303" s="106">
        <f t="shared" si="306"/>
        <v>148.75628690445757</v>
      </c>
      <c r="R303" s="106">
        <f t="shared" si="306"/>
        <v>148.75628690445757</v>
      </c>
      <c r="S303" s="106">
        <f t="shared" si="306"/>
        <v>148.75628690445757</v>
      </c>
      <c r="T303" s="106">
        <f t="shared" si="306"/>
        <v>148.75628690445757</v>
      </c>
      <c r="U303" s="106">
        <f t="shared" si="306"/>
        <v>148.75628690445757</v>
      </c>
      <c r="V303" s="106">
        <f t="shared" si="306"/>
        <v>148.75628690445757</v>
      </c>
      <c r="W303" s="106">
        <f t="shared" si="306"/>
        <v>148.75628690445757</v>
      </c>
    </row>
    <row r="304" spans="1:23" hidden="1" outlineLevel="1" x14ac:dyDescent="0.3">
      <c r="A304" s="112">
        <v>2056</v>
      </c>
      <c r="B304" s="106">
        <f t="shared" si="304"/>
        <v>20</v>
      </c>
      <c r="C304" s="106">
        <f t="shared" si="304"/>
        <v>153.21897551159128</v>
      </c>
      <c r="D304" s="106">
        <f t="shared" si="304"/>
        <v>204.63240288804451</v>
      </c>
      <c r="E304" s="106"/>
      <c r="F304" s="106"/>
      <c r="G304" s="106"/>
      <c r="H304" s="106">
        <f t="shared" si="305"/>
        <v>153.21897551159128</v>
      </c>
      <c r="I304" s="106">
        <f t="shared" si="306"/>
        <v>153.21897551159128</v>
      </c>
      <c r="J304" s="106">
        <f t="shared" si="306"/>
        <v>153.21897551159128</v>
      </c>
      <c r="K304" s="106">
        <f t="shared" si="306"/>
        <v>153.21897551159128</v>
      </c>
      <c r="L304" s="106">
        <f t="shared" si="306"/>
        <v>153.21897551159128</v>
      </c>
      <c r="M304" s="106">
        <f t="shared" si="306"/>
        <v>153.21897551159128</v>
      </c>
      <c r="N304" s="106">
        <f t="shared" si="306"/>
        <v>153.21897551159128</v>
      </c>
      <c r="O304" s="106">
        <f t="shared" si="306"/>
        <v>153.21897551159128</v>
      </c>
      <c r="P304" s="106">
        <f t="shared" si="306"/>
        <v>153.21897551159128</v>
      </c>
      <c r="Q304" s="106">
        <f t="shared" si="306"/>
        <v>153.21897551159128</v>
      </c>
      <c r="R304" s="106">
        <f t="shared" si="306"/>
        <v>153.21897551159128</v>
      </c>
      <c r="S304" s="106">
        <f t="shared" si="306"/>
        <v>153.21897551159128</v>
      </c>
      <c r="T304" s="106">
        <f t="shared" si="306"/>
        <v>153.21897551159128</v>
      </c>
      <c r="U304" s="106">
        <f t="shared" si="306"/>
        <v>153.21897551159128</v>
      </c>
      <c r="V304" s="106">
        <f t="shared" si="306"/>
        <v>153.21897551159128</v>
      </c>
      <c r="W304" s="106">
        <f t="shared" si="306"/>
        <v>153.21897551159128</v>
      </c>
    </row>
    <row r="305" spans="1:23" hidden="1" outlineLevel="1" x14ac:dyDescent="0.3">
      <c r="A305" s="112">
        <v>2057</v>
      </c>
      <c r="B305" s="106">
        <f t="shared" si="304"/>
        <v>20</v>
      </c>
      <c r="C305" s="106">
        <f t="shared" si="304"/>
        <v>157.81554477693902</v>
      </c>
      <c r="D305" s="106">
        <f t="shared" si="304"/>
        <v>210.77137497468584</v>
      </c>
      <c r="E305" s="106"/>
      <c r="F305" s="106"/>
      <c r="G305" s="106"/>
      <c r="H305" s="106">
        <f t="shared" si="305"/>
        <v>157.81554477693902</v>
      </c>
      <c r="I305" s="106">
        <f t="shared" si="306"/>
        <v>157.81554477693902</v>
      </c>
      <c r="J305" s="106">
        <f t="shared" si="306"/>
        <v>157.81554477693902</v>
      </c>
      <c r="K305" s="106">
        <f t="shared" si="306"/>
        <v>157.81554477693902</v>
      </c>
      <c r="L305" s="106">
        <f t="shared" si="306"/>
        <v>157.81554477693902</v>
      </c>
      <c r="M305" s="106">
        <f t="shared" si="306"/>
        <v>157.81554477693902</v>
      </c>
      <c r="N305" s="106">
        <f t="shared" si="306"/>
        <v>157.81554477693902</v>
      </c>
      <c r="O305" s="106">
        <f t="shared" si="306"/>
        <v>157.81554477693902</v>
      </c>
      <c r="P305" s="106">
        <f t="shared" si="306"/>
        <v>157.81554477693902</v>
      </c>
      <c r="Q305" s="106">
        <f t="shared" si="306"/>
        <v>157.81554477693902</v>
      </c>
      <c r="R305" s="106">
        <f t="shared" si="306"/>
        <v>157.81554477693902</v>
      </c>
      <c r="S305" s="106">
        <f t="shared" si="306"/>
        <v>157.81554477693902</v>
      </c>
      <c r="T305" s="106">
        <f t="shared" si="306"/>
        <v>157.81554477693902</v>
      </c>
      <c r="U305" s="106">
        <f t="shared" si="306"/>
        <v>157.81554477693902</v>
      </c>
      <c r="V305" s="106">
        <f t="shared" si="306"/>
        <v>157.81554477693902</v>
      </c>
      <c r="W305" s="106">
        <f t="shared" si="306"/>
        <v>157.81554477693902</v>
      </c>
    </row>
    <row r="306" spans="1:23" hidden="1" outlineLevel="1" x14ac:dyDescent="0.3">
      <c r="A306" s="112">
        <v>2058</v>
      </c>
      <c r="B306" s="106">
        <f t="shared" si="304"/>
        <v>20</v>
      </c>
      <c r="C306" s="106">
        <f t="shared" si="304"/>
        <v>162.55001112024721</v>
      </c>
      <c r="D306" s="106">
        <f t="shared" si="304"/>
        <v>217.09451622392643</v>
      </c>
      <c r="E306" s="106"/>
      <c r="F306" s="106"/>
      <c r="G306" s="106"/>
      <c r="H306" s="106">
        <f t="shared" si="305"/>
        <v>162.55001112024721</v>
      </c>
      <c r="I306" s="106">
        <f t="shared" ref="I306:W308" si="307">IF($A306&lt;I$29,0,IF($A306&gt;=I$272,I$271*(1+I$273)^($A306-I$272),I$30+(I$271-I$30)*($A306-I$29)/(I$272-I$29)))</f>
        <v>162.55001112024721</v>
      </c>
      <c r="J306" s="106">
        <f t="shared" si="307"/>
        <v>162.55001112024721</v>
      </c>
      <c r="K306" s="106">
        <f t="shared" si="307"/>
        <v>162.55001112024721</v>
      </c>
      <c r="L306" s="106">
        <f t="shared" si="307"/>
        <v>162.55001112024721</v>
      </c>
      <c r="M306" s="106">
        <f t="shared" si="307"/>
        <v>162.55001112024721</v>
      </c>
      <c r="N306" s="106">
        <f t="shared" si="307"/>
        <v>162.55001112024721</v>
      </c>
      <c r="O306" s="106">
        <f t="shared" si="307"/>
        <v>162.55001112024721</v>
      </c>
      <c r="P306" s="106">
        <f t="shared" si="307"/>
        <v>162.55001112024721</v>
      </c>
      <c r="Q306" s="106">
        <f t="shared" si="307"/>
        <v>162.55001112024721</v>
      </c>
      <c r="R306" s="106">
        <f t="shared" si="307"/>
        <v>162.55001112024721</v>
      </c>
      <c r="S306" s="106">
        <f t="shared" si="307"/>
        <v>162.55001112024721</v>
      </c>
      <c r="T306" s="106">
        <f t="shared" si="307"/>
        <v>162.55001112024721</v>
      </c>
      <c r="U306" s="106">
        <f t="shared" si="307"/>
        <v>162.55001112024721</v>
      </c>
      <c r="V306" s="106">
        <f t="shared" si="307"/>
        <v>162.55001112024721</v>
      </c>
      <c r="W306" s="106">
        <f t="shared" si="307"/>
        <v>162.55001112024721</v>
      </c>
    </row>
    <row r="307" spans="1:23" hidden="1" outlineLevel="1" x14ac:dyDescent="0.3">
      <c r="A307" s="112">
        <v>2059</v>
      </c>
      <c r="B307" s="106">
        <f t="shared" si="304"/>
        <v>20</v>
      </c>
      <c r="C307" s="106">
        <f t="shared" si="304"/>
        <v>167.42651145385457</v>
      </c>
      <c r="D307" s="106">
        <f t="shared" si="304"/>
        <v>223.6073517106442</v>
      </c>
      <c r="E307" s="106"/>
      <c r="F307" s="106"/>
      <c r="G307" s="106"/>
      <c r="H307" s="106">
        <f t="shared" si="305"/>
        <v>167.42651145385457</v>
      </c>
      <c r="I307" s="106">
        <f t="shared" si="307"/>
        <v>167.42651145385457</v>
      </c>
      <c r="J307" s="106">
        <f t="shared" si="307"/>
        <v>167.42651145385457</v>
      </c>
      <c r="K307" s="106">
        <f t="shared" si="307"/>
        <v>167.42651145385457</v>
      </c>
      <c r="L307" s="106">
        <f t="shared" si="307"/>
        <v>167.42651145385457</v>
      </c>
      <c r="M307" s="106">
        <f t="shared" si="307"/>
        <v>167.42651145385457</v>
      </c>
      <c r="N307" s="106">
        <f t="shared" si="307"/>
        <v>167.42651145385457</v>
      </c>
      <c r="O307" s="106">
        <f t="shared" si="307"/>
        <v>167.42651145385457</v>
      </c>
      <c r="P307" s="106">
        <f t="shared" si="307"/>
        <v>167.42651145385457</v>
      </c>
      <c r="Q307" s="106">
        <f t="shared" si="307"/>
        <v>167.42651145385457</v>
      </c>
      <c r="R307" s="106">
        <f t="shared" si="307"/>
        <v>167.42651145385457</v>
      </c>
      <c r="S307" s="106">
        <f t="shared" si="307"/>
        <v>167.42651145385457</v>
      </c>
      <c r="T307" s="106">
        <f t="shared" si="307"/>
        <v>167.42651145385457</v>
      </c>
      <c r="U307" s="106">
        <f t="shared" si="307"/>
        <v>167.42651145385457</v>
      </c>
      <c r="V307" s="106">
        <f t="shared" si="307"/>
        <v>167.42651145385457</v>
      </c>
      <c r="W307" s="106">
        <f t="shared" si="307"/>
        <v>167.42651145385457</v>
      </c>
    </row>
    <row r="308" spans="1:23" hidden="1" outlineLevel="1" x14ac:dyDescent="0.3">
      <c r="A308" s="112">
        <v>2060</v>
      </c>
      <c r="B308" s="106">
        <f t="shared" si="304"/>
        <v>20</v>
      </c>
      <c r="C308" s="106">
        <f t="shared" si="304"/>
        <v>172.44930679747023</v>
      </c>
      <c r="D308" s="106">
        <f t="shared" si="304"/>
        <v>230.31557226196352</v>
      </c>
      <c r="E308" s="106"/>
      <c r="F308" s="106"/>
      <c r="G308" s="106"/>
      <c r="H308" s="106">
        <f t="shared" si="305"/>
        <v>172.44930679747023</v>
      </c>
      <c r="I308" s="106">
        <f t="shared" si="307"/>
        <v>172.44930679747023</v>
      </c>
      <c r="J308" s="106">
        <f t="shared" si="307"/>
        <v>172.44930679747023</v>
      </c>
      <c r="K308" s="106">
        <f t="shared" si="307"/>
        <v>172.44930679747023</v>
      </c>
      <c r="L308" s="106">
        <f t="shared" si="307"/>
        <v>172.44930679747023</v>
      </c>
      <c r="M308" s="106">
        <f t="shared" si="307"/>
        <v>172.44930679747023</v>
      </c>
      <c r="N308" s="106">
        <f t="shared" si="307"/>
        <v>172.44930679747023</v>
      </c>
      <c r="O308" s="106">
        <f t="shared" si="307"/>
        <v>172.44930679747023</v>
      </c>
      <c r="P308" s="106">
        <f t="shared" si="307"/>
        <v>172.44930679747023</v>
      </c>
      <c r="Q308" s="106">
        <f t="shared" si="307"/>
        <v>172.44930679747023</v>
      </c>
      <c r="R308" s="106">
        <f t="shared" si="307"/>
        <v>172.44930679747023</v>
      </c>
      <c r="S308" s="106">
        <f t="shared" si="307"/>
        <v>172.44930679747023</v>
      </c>
      <c r="T308" s="106">
        <f t="shared" si="307"/>
        <v>172.44930679747023</v>
      </c>
      <c r="U308" s="106">
        <f t="shared" si="307"/>
        <v>172.44930679747023</v>
      </c>
      <c r="V308" s="106">
        <f t="shared" si="307"/>
        <v>172.44930679747023</v>
      </c>
      <c r="W308" s="106">
        <f t="shared" si="307"/>
        <v>172.44930679747023</v>
      </c>
    </row>
    <row r="309" spans="1:23" collapsed="1" x14ac:dyDescent="0.3">
      <c r="B309" s="106"/>
      <c r="C309" s="106"/>
      <c r="D309" s="106"/>
      <c r="E309" s="106"/>
      <c r="F309" s="106"/>
      <c r="G309" s="106"/>
      <c r="H309" s="106"/>
    </row>
    <row r="310" spans="1:23" x14ac:dyDescent="0.3">
      <c r="A310" s="105" t="s">
        <v>867</v>
      </c>
      <c r="B310" s="114" t="s">
        <v>7</v>
      </c>
      <c r="C310" s="114" t="s">
        <v>8</v>
      </c>
      <c r="D310" s="114" t="s">
        <v>9</v>
      </c>
      <c r="E310" s="114"/>
      <c r="F310" s="114"/>
      <c r="G310" s="114"/>
      <c r="H310" s="114" t="s">
        <v>866</v>
      </c>
    </row>
    <row r="311" spans="1:23" hidden="1" outlineLevel="1" x14ac:dyDescent="0.3">
      <c r="A311" s="112">
        <v>2027</v>
      </c>
      <c r="B311" s="107">
        <f>IF($A311&lt;B$29,0,IF($A311&gt;=B$272,(1+B$273)^($A311-B$272),($A311-B$29)/(B$272-B$29)))</f>
        <v>0</v>
      </c>
      <c r="C311" s="107">
        <f t="shared" ref="C311:D326" si="308">IF($A311&lt;C$29,0,IF($A311&gt;=C$272,(1+C$273)^($A311-C$272),($A311-C$29)/(C$272-C$29)))</f>
        <v>0</v>
      </c>
      <c r="D311" s="107">
        <f t="shared" si="308"/>
        <v>0</v>
      </c>
      <c r="E311" s="107"/>
      <c r="F311" s="107"/>
      <c r="G311" s="107"/>
      <c r="H311" s="107">
        <f>IF($A311&lt;H$29,0,IF($A311&gt;=H$272,(1+H$273)^($A311-H$272),($A311-H$29)/(H$272-H$29)))</f>
        <v>0</v>
      </c>
      <c r="I311" s="107">
        <f t="shared" ref="I311:W311" si="309">IF($A311&lt;I$29,0,IF($A311&gt;=I$272,(1+I$273)^($A311-I$272),($A311-I$29)/(I$272-I$29)))</f>
        <v>0</v>
      </c>
      <c r="J311" s="107">
        <f t="shared" si="309"/>
        <v>0</v>
      </c>
      <c r="K311" s="107">
        <f t="shared" si="309"/>
        <v>0</v>
      </c>
      <c r="L311" s="107">
        <f t="shared" si="309"/>
        <v>0</v>
      </c>
      <c r="M311" s="107">
        <f t="shared" si="309"/>
        <v>0</v>
      </c>
      <c r="N311" s="107">
        <f t="shared" si="309"/>
        <v>0</v>
      </c>
      <c r="O311" s="107">
        <f t="shared" si="309"/>
        <v>0</v>
      </c>
      <c r="P311" s="107">
        <f t="shared" si="309"/>
        <v>0</v>
      </c>
      <c r="Q311" s="107">
        <f t="shared" si="309"/>
        <v>0</v>
      </c>
      <c r="R311" s="107">
        <f t="shared" si="309"/>
        <v>0</v>
      </c>
      <c r="S311" s="107">
        <f t="shared" si="309"/>
        <v>0</v>
      </c>
      <c r="T311" s="107">
        <f t="shared" si="309"/>
        <v>0</v>
      </c>
      <c r="U311" s="107">
        <f t="shared" si="309"/>
        <v>0</v>
      </c>
      <c r="V311" s="107">
        <f t="shared" si="309"/>
        <v>0</v>
      </c>
      <c r="W311" s="107">
        <f t="shared" si="309"/>
        <v>0</v>
      </c>
    </row>
    <row r="312" spans="1:23" hidden="1" outlineLevel="1" x14ac:dyDescent="0.3">
      <c r="A312" s="112">
        <v>2028</v>
      </c>
      <c r="B312" s="107">
        <f t="shared" ref="B312:D344" si="310">IF($A312&lt;B$29,0,IF($A312&gt;=B$272,(1+B$273)^($A312-B$272),($A312-B$29)/(B$272-B$29)))</f>
        <v>0</v>
      </c>
      <c r="C312" s="107">
        <f t="shared" si="308"/>
        <v>0</v>
      </c>
      <c r="D312" s="107">
        <f t="shared" si="308"/>
        <v>0</v>
      </c>
      <c r="E312" s="107"/>
      <c r="F312" s="107"/>
      <c r="G312" s="107"/>
      <c r="H312" s="107">
        <f t="shared" ref="H312:W344" si="311">IF($A312&lt;H$29,0,IF($A312&gt;=H$272,(1+H$273)^($A312-H$272),($A312-H$29)/(H$272-H$29)))</f>
        <v>0</v>
      </c>
      <c r="I312" s="107">
        <f t="shared" si="311"/>
        <v>0</v>
      </c>
      <c r="J312" s="107">
        <f t="shared" si="311"/>
        <v>0</v>
      </c>
      <c r="K312" s="107">
        <f t="shared" si="311"/>
        <v>0</v>
      </c>
      <c r="L312" s="107">
        <f t="shared" si="311"/>
        <v>0</v>
      </c>
      <c r="M312" s="107">
        <f t="shared" si="311"/>
        <v>0</v>
      </c>
      <c r="N312" s="107">
        <f t="shared" si="311"/>
        <v>0</v>
      </c>
      <c r="O312" s="107">
        <f t="shared" si="311"/>
        <v>0</v>
      </c>
      <c r="P312" s="107">
        <f t="shared" si="311"/>
        <v>0</v>
      </c>
      <c r="Q312" s="107">
        <f t="shared" si="311"/>
        <v>0</v>
      </c>
      <c r="R312" s="107">
        <f t="shared" si="311"/>
        <v>0</v>
      </c>
      <c r="S312" s="107">
        <f t="shared" si="311"/>
        <v>0</v>
      </c>
      <c r="T312" s="107">
        <f t="shared" si="311"/>
        <v>0</v>
      </c>
      <c r="U312" s="107">
        <f t="shared" si="311"/>
        <v>0</v>
      </c>
      <c r="V312" s="107">
        <f t="shared" si="311"/>
        <v>0</v>
      </c>
      <c r="W312" s="107">
        <f t="shared" si="311"/>
        <v>0</v>
      </c>
    </row>
    <row r="313" spans="1:23" hidden="1" outlineLevel="1" x14ac:dyDescent="0.3">
      <c r="A313" s="112">
        <v>2029</v>
      </c>
      <c r="B313" s="107">
        <f t="shared" si="310"/>
        <v>0</v>
      </c>
      <c r="C313" s="107">
        <f t="shared" si="308"/>
        <v>0</v>
      </c>
      <c r="D313" s="107">
        <f t="shared" si="308"/>
        <v>0</v>
      </c>
      <c r="E313" s="107"/>
      <c r="F313" s="107"/>
      <c r="G313" s="107"/>
      <c r="H313" s="107">
        <f t="shared" si="311"/>
        <v>0</v>
      </c>
      <c r="I313" s="107">
        <f t="shared" si="311"/>
        <v>0</v>
      </c>
      <c r="J313" s="107">
        <f t="shared" si="311"/>
        <v>0.1</v>
      </c>
      <c r="K313" s="107">
        <f t="shared" si="311"/>
        <v>0</v>
      </c>
      <c r="L313" s="107">
        <f t="shared" si="311"/>
        <v>0</v>
      </c>
      <c r="M313" s="107">
        <f t="shared" si="311"/>
        <v>0</v>
      </c>
      <c r="N313" s="107">
        <f t="shared" si="311"/>
        <v>0</v>
      </c>
      <c r="O313" s="107">
        <f t="shared" si="311"/>
        <v>0</v>
      </c>
      <c r="P313" s="107">
        <f t="shared" si="311"/>
        <v>0</v>
      </c>
      <c r="Q313" s="107">
        <f t="shared" si="311"/>
        <v>0</v>
      </c>
      <c r="R313" s="107">
        <f t="shared" si="311"/>
        <v>0</v>
      </c>
      <c r="S313" s="107">
        <f t="shared" si="311"/>
        <v>0</v>
      </c>
      <c r="T313" s="107">
        <f t="shared" si="311"/>
        <v>0</v>
      </c>
      <c r="U313" s="107">
        <f t="shared" si="311"/>
        <v>0</v>
      </c>
      <c r="V313" s="107">
        <f t="shared" si="311"/>
        <v>0</v>
      </c>
      <c r="W313" s="107">
        <f t="shared" si="311"/>
        <v>0</v>
      </c>
    </row>
    <row r="314" spans="1:23" hidden="1" outlineLevel="1" x14ac:dyDescent="0.3">
      <c r="A314" s="112">
        <v>2030</v>
      </c>
      <c r="B314" s="107">
        <f t="shared" si="310"/>
        <v>0</v>
      </c>
      <c r="C314" s="107">
        <f t="shared" si="308"/>
        <v>0</v>
      </c>
      <c r="D314" s="107">
        <f t="shared" si="308"/>
        <v>0</v>
      </c>
      <c r="E314" s="107"/>
      <c r="F314" s="107"/>
      <c r="G314" s="107"/>
      <c r="H314" s="107">
        <f t="shared" si="311"/>
        <v>0</v>
      </c>
      <c r="I314" s="107">
        <f t="shared" si="311"/>
        <v>0</v>
      </c>
      <c r="J314" s="107">
        <f t="shared" si="311"/>
        <v>0.2</v>
      </c>
      <c r="K314" s="107">
        <f t="shared" si="311"/>
        <v>0</v>
      </c>
      <c r="L314" s="107">
        <f t="shared" si="311"/>
        <v>0</v>
      </c>
      <c r="M314" s="107">
        <f t="shared" si="311"/>
        <v>0</v>
      </c>
      <c r="N314" s="107">
        <f t="shared" si="311"/>
        <v>0</v>
      </c>
      <c r="O314" s="107">
        <f t="shared" si="311"/>
        <v>0</v>
      </c>
      <c r="P314" s="107">
        <f t="shared" si="311"/>
        <v>0</v>
      </c>
      <c r="Q314" s="107">
        <f t="shared" si="311"/>
        <v>0</v>
      </c>
      <c r="R314" s="107">
        <f t="shared" si="311"/>
        <v>0</v>
      </c>
      <c r="S314" s="107">
        <f t="shared" si="311"/>
        <v>0</v>
      </c>
      <c r="T314" s="107">
        <f t="shared" si="311"/>
        <v>0</v>
      </c>
      <c r="U314" s="107">
        <f t="shared" si="311"/>
        <v>0</v>
      </c>
      <c r="V314" s="107">
        <f t="shared" si="311"/>
        <v>0</v>
      </c>
      <c r="W314" s="107">
        <f t="shared" si="311"/>
        <v>0</v>
      </c>
    </row>
    <row r="315" spans="1:23" hidden="1" outlineLevel="1" x14ac:dyDescent="0.3">
      <c r="A315" s="112">
        <v>2031</v>
      </c>
      <c r="B315" s="107">
        <f t="shared" si="310"/>
        <v>0</v>
      </c>
      <c r="C315" s="107">
        <f t="shared" si="308"/>
        <v>0.125</v>
      </c>
      <c r="D315" s="107">
        <f t="shared" si="308"/>
        <v>0.2</v>
      </c>
      <c r="E315" s="107"/>
      <c r="F315" s="107"/>
      <c r="G315" s="107"/>
      <c r="H315" s="107">
        <f t="shared" si="311"/>
        <v>0.125</v>
      </c>
      <c r="I315" s="107">
        <f t="shared" si="311"/>
        <v>0.125</v>
      </c>
      <c r="J315" s="107">
        <f t="shared" si="311"/>
        <v>0.3</v>
      </c>
      <c r="K315" s="107">
        <f t="shared" si="311"/>
        <v>0.125</v>
      </c>
      <c r="L315" s="107">
        <f t="shared" si="311"/>
        <v>0.125</v>
      </c>
      <c r="M315" s="107">
        <f t="shared" si="311"/>
        <v>0.125</v>
      </c>
      <c r="N315" s="107">
        <f t="shared" si="311"/>
        <v>0.125</v>
      </c>
      <c r="O315" s="107">
        <f t="shared" si="311"/>
        <v>0.125</v>
      </c>
      <c r="P315" s="107">
        <f t="shared" si="311"/>
        <v>0.125</v>
      </c>
      <c r="Q315" s="107">
        <f t="shared" si="311"/>
        <v>0.125</v>
      </c>
      <c r="R315" s="107">
        <f t="shared" si="311"/>
        <v>0.125</v>
      </c>
      <c r="S315" s="107">
        <f t="shared" si="311"/>
        <v>0.125</v>
      </c>
      <c r="T315" s="107">
        <f t="shared" si="311"/>
        <v>0.125</v>
      </c>
      <c r="U315" s="107">
        <f t="shared" si="311"/>
        <v>0.125</v>
      </c>
      <c r="V315" s="107">
        <f t="shared" si="311"/>
        <v>0.125</v>
      </c>
      <c r="W315" s="107">
        <f t="shared" si="311"/>
        <v>0.125</v>
      </c>
    </row>
    <row r="316" spans="1:23" hidden="1" outlineLevel="1" x14ac:dyDescent="0.3">
      <c r="A316" s="112">
        <v>2032</v>
      </c>
      <c r="B316" s="107">
        <f t="shared" si="310"/>
        <v>1</v>
      </c>
      <c r="C316" s="107">
        <f t="shared" si="308"/>
        <v>0.25</v>
      </c>
      <c r="D316" s="107">
        <f t="shared" si="308"/>
        <v>0.4</v>
      </c>
      <c r="E316" s="107"/>
      <c r="F316" s="107"/>
      <c r="G316" s="107"/>
      <c r="H316" s="107">
        <f t="shared" si="311"/>
        <v>0.25</v>
      </c>
      <c r="I316" s="107">
        <f t="shared" si="311"/>
        <v>0.25</v>
      </c>
      <c r="J316" s="107">
        <f t="shared" si="311"/>
        <v>0.4</v>
      </c>
      <c r="K316" s="107">
        <f t="shared" si="311"/>
        <v>0.25</v>
      </c>
      <c r="L316" s="107">
        <f t="shared" si="311"/>
        <v>0.25</v>
      </c>
      <c r="M316" s="107">
        <f t="shared" si="311"/>
        <v>0.25</v>
      </c>
      <c r="N316" s="107">
        <f t="shared" si="311"/>
        <v>0.25</v>
      </c>
      <c r="O316" s="107">
        <f t="shared" si="311"/>
        <v>0.25</v>
      </c>
      <c r="P316" s="107">
        <f t="shared" si="311"/>
        <v>0.25</v>
      </c>
      <c r="Q316" s="107">
        <f t="shared" si="311"/>
        <v>0.25</v>
      </c>
      <c r="R316" s="107">
        <f t="shared" si="311"/>
        <v>0.25</v>
      </c>
      <c r="S316" s="107">
        <f t="shared" si="311"/>
        <v>0.25</v>
      </c>
      <c r="T316" s="107">
        <f t="shared" si="311"/>
        <v>0.25</v>
      </c>
      <c r="U316" s="107">
        <f t="shared" si="311"/>
        <v>0.25</v>
      </c>
      <c r="V316" s="107">
        <f t="shared" si="311"/>
        <v>0.25</v>
      </c>
      <c r="W316" s="107">
        <f t="shared" si="311"/>
        <v>0.25</v>
      </c>
    </row>
    <row r="317" spans="1:23" hidden="1" outlineLevel="1" x14ac:dyDescent="0.3">
      <c r="A317" s="112">
        <v>2033</v>
      </c>
      <c r="B317" s="107">
        <f t="shared" si="310"/>
        <v>1</v>
      </c>
      <c r="C317" s="107">
        <f t="shared" si="308"/>
        <v>0.375</v>
      </c>
      <c r="D317" s="107">
        <f t="shared" si="308"/>
        <v>0.6</v>
      </c>
      <c r="E317" s="107"/>
      <c r="F317" s="107"/>
      <c r="G317" s="107"/>
      <c r="H317" s="107">
        <f t="shared" si="311"/>
        <v>0.375</v>
      </c>
      <c r="I317" s="107">
        <f t="shared" si="311"/>
        <v>0.375</v>
      </c>
      <c r="J317" s="107">
        <f t="shared" si="311"/>
        <v>0.5</v>
      </c>
      <c r="K317" s="107">
        <f t="shared" si="311"/>
        <v>0.375</v>
      </c>
      <c r="L317" s="107">
        <f t="shared" si="311"/>
        <v>0.375</v>
      </c>
      <c r="M317" s="107">
        <f t="shared" si="311"/>
        <v>0.375</v>
      </c>
      <c r="N317" s="107">
        <f t="shared" si="311"/>
        <v>0.375</v>
      </c>
      <c r="O317" s="107">
        <f t="shared" si="311"/>
        <v>0.375</v>
      </c>
      <c r="P317" s="107">
        <f t="shared" si="311"/>
        <v>0.375</v>
      </c>
      <c r="Q317" s="107">
        <f t="shared" si="311"/>
        <v>0.375</v>
      </c>
      <c r="R317" s="107">
        <f t="shared" si="311"/>
        <v>0.375</v>
      </c>
      <c r="S317" s="107">
        <f t="shared" si="311"/>
        <v>0.375</v>
      </c>
      <c r="T317" s="107">
        <f t="shared" si="311"/>
        <v>0.375</v>
      </c>
      <c r="U317" s="107">
        <f t="shared" si="311"/>
        <v>0.375</v>
      </c>
      <c r="V317" s="107">
        <f t="shared" si="311"/>
        <v>0.375</v>
      </c>
      <c r="W317" s="107">
        <f t="shared" si="311"/>
        <v>0.375</v>
      </c>
    </row>
    <row r="318" spans="1:23" hidden="1" outlineLevel="1" x14ac:dyDescent="0.3">
      <c r="A318" s="112">
        <v>2034</v>
      </c>
      <c r="B318" s="107">
        <f t="shared" si="310"/>
        <v>1</v>
      </c>
      <c r="C318" s="107">
        <f t="shared" si="308"/>
        <v>0.5</v>
      </c>
      <c r="D318" s="107">
        <f t="shared" si="308"/>
        <v>0.8</v>
      </c>
      <c r="E318" s="107"/>
      <c r="F318" s="107"/>
      <c r="G318" s="107"/>
      <c r="H318" s="107">
        <f t="shared" si="311"/>
        <v>0.5</v>
      </c>
      <c r="I318" s="107">
        <f t="shared" si="311"/>
        <v>0.5</v>
      </c>
      <c r="J318" s="107">
        <f t="shared" si="311"/>
        <v>0.6</v>
      </c>
      <c r="K318" s="107">
        <f t="shared" si="311"/>
        <v>0.5</v>
      </c>
      <c r="L318" s="107">
        <f t="shared" si="311"/>
        <v>0.5</v>
      </c>
      <c r="M318" s="107">
        <f t="shared" si="311"/>
        <v>0.5</v>
      </c>
      <c r="N318" s="107">
        <f t="shared" si="311"/>
        <v>0.5</v>
      </c>
      <c r="O318" s="107">
        <f t="shared" si="311"/>
        <v>0.5</v>
      </c>
      <c r="P318" s="107">
        <f t="shared" si="311"/>
        <v>0.5</v>
      </c>
      <c r="Q318" s="107">
        <f t="shared" si="311"/>
        <v>0.5</v>
      </c>
      <c r="R318" s="107">
        <f t="shared" si="311"/>
        <v>0.5</v>
      </c>
      <c r="S318" s="107">
        <f t="shared" si="311"/>
        <v>0.5</v>
      </c>
      <c r="T318" s="107">
        <f t="shared" si="311"/>
        <v>0.5</v>
      </c>
      <c r="U318" s="107">
        <f t="shared" si="311"/>
        <v>0.5</v>
      </c>
      <c r="V318" s="107">
        <f t="shared" si="311"/>
        <v>0.5</v>
      </c>
      <c r="W318" s="107">
        <f t="shared" si="311"/>
        <v>0.5</v>
      </c>
    </row>
    <row r="319" spans="1:23" hidden="1" outlineLevel="1" x14ac:dyDescent="0.3">
      <c r="A319" s="112">
        <v>2035</v>
      </c>
      <c r="B319" s="107">
        <f t="shared" si="310"/>
        <v>1</v>
      </c>
      <c r="C319" s="107">
        <f t="shared" si="308"/>
        <v>0.625</v>
      </c>
      <c r="D319" s="107">
        <f t="shared" si="308"/>
        <v>1</v>
      </c>
      <c r="E319" s="107"/>
      <c r="F319" s="107"/>
      <c r="G319" s="107"/>
      <c r="H319" s="107">
        <f t="shared" si="311"/>
        <v>0.625</v>
      </c>
      <c r="I319" s="107">
        <f t="shared" si="311"/>
        <v>0.625</v>
      </c>
      <c r="J319" s="107">
        <f t="shared" si="311"/>
        <v>0.7</v>
      </c>
      <c r="K319" s="107">
        <f t="shared" si="311"/>
        <v>0.625</v>
      </c>
      <c r="L319" s="107">
        <f t="shared" si="311"/>
        <v>0.625</v>
      </c>
      <c r="M319" s="107">
        <f t="shared" si="311"/>
        <v>0.625</v>
      </c>
      <c r="N319" s="107">
        <f t="shared" si="311"/>
        <v>0.625</v>
      </c>
      <c r="O319" s="107">
        <f t="shared" si="311"/>
        <v>0.625</v>
      </c>
      <c r="P319" s="107">
        <f t="shared" si="311"/>
        <v>0.625</v>
      </c>
      <c r="Q319" s="107">
        <f t="shared" si="311"/>
        <v>0.625</v>
      </c>
      <c r="R319" s="107">
        <f t="shared" si="311"/>
        <v>0.625</v>
      </c>
      <c r="S319" s="107">
        <f t="shared" si="311"/>
        <v>0.625</v>
      </c>
      <c r="T319" s="107">
        <f t="shared" si="311"/>
        <v>0.625</v>
      </c>
      <c r="U319" s="107">
        <f t="shared" si="311"/>
        <v>0.625</v>
      </c>
      <c r="V319" s="107">
        <f t="shared" si="311"/>
        <v>0.625</v>
      </c>
      <c r="W319" s="107">
        <f t="shared" si="311"/>
        <v>0.625</v>
      </c>
    </row>
    <row r="320" spans="1:23" hidden="1" outlineLevel="1" x14ac:dyDescent="0.3">
      <c r="A320" s="112">
        <v>2036</v>
      </c>
      <c r="B320" s="107">
        <f t="shared" si="310"/>
        <v>1</v>
      </c>
      <c r="C320" s="107">
        <f t="shared" si="308"/>
        <v>0.75</v>
      </c>
      <c r="D320" s="107">
        <f t="shared" si="308"/>
        <v>1.03</v>
      </c>
      <c r="E320" s="107"/>
      <c r="F320" s="107"/>
      <c r="G320" s="107"/>
      <c r="H320" s="107">
        <f t="shared" si="311"/>
        <v>0.75</v>
      </c>
      <c r="I320" s="107">
        <f t="shared" si="311"/>
        <v>0.75</v>
      </c>
      <c r="J320" s="107">
        <f t="shared" si="311"/>
        <v>0.8</v>
      </c>
      <c r="K320" s="107">
        <f t="shared" si="311"/>
        <v>0.75</v>
      </c>
      <c r="L320" s="107">
        <f t="shared" si="311"/>
        <v>0.75</v>
      </c>
      <c r="M320" s="107">
        <f t="shared" si="311"/>
        <v>0.75</v>
      </c>
      <c r="N320" s="107">
        <f t="shared" si="311"/>
        <v>0.75</v>
      </c>
      <c r="O320" s="107">
        <f t="shared" si="311"/>
        <v>0.75</v>
      </c>
      <c r="P320" s="107">
        <f t="shared" si="311"/>
        <v>0.75</v>
      </c>
      <c r="Q320" s="107">
        <f t="shared" si="311"/>
        <v>0.75</v>
      </c>
      <c r="R320" s="107">
        <f t="shared" si="311"/>
        <v>0.75</v>
      </c>
      <c r="S320" s="107">
        <f t="shared" si="311"/>
        <v>0.75</v>
      </c>
      <c r="T320" s="107">
        <f t="shared" si="311"/>
        <v>0.75</v>
      </c>
      <c r="U320" s="107">
        <f t="shared" si="311"/>
        <v>0.75</v>
      </c>
      <c r="V320" s="107">
        <f t="shared" si="311"/>
        <v>0.75</v>
      </c>
      <c r="W320" s="107">
        <f t="shared" si="311"/>
        <v>0.75</v>
      </c>
    </row>
    <row r="321" spans="1:23" hidden="1" outlineLevel="1" x14ac:dyDescent="0.3">
      <c r="A321" s="112">
        <v>2037</v>
      </c>
      <c r="B321" s="107">
        <f t="shared" si="310"/>
        <v>1</v>
      </c>
      <c r="C321" s="107">
        <f t="shared" si="308"/>
        <v>0.875</v>
      </c>
      <c r="D321" s="107">
        <f t="shared" si="308"/>
        <v>1.0609</v>
      </c>
      <c r="E321" s="107"/>
      <c r="F321" s="107"/>
      <c r="G321" s="107"/>
      <c r="H321" s="107">
        <f t="shared" si="311"/>
        <v>0.875</v>
      </c>
      <c r="I321" s="107">
        <f t="shared" si="311"/>
        <v>0.875</v>
      </c>
      <c r="J321" s="107">
        <f t="shared" si="311"/>
        <v>0.9</v>
      </c>
      <c r="K321" s="107">
        <f t="shared" si="311"/>
        <v>0.875</v>
      </c>
      <c r="L321" s="107">
        <f t="shared" si="311"/>
        <v>0.875</v>
      </c>
      <c r="M321" s="107">
        <f t="shared" si="311"/>
        <v>0.875</v>
      </c>
      <c r="N321" s="107">
        <f t="shared" si="311"/>
        <v>0.875</v>
      </c>
      <c r="O321" s="107">
        <f t="shared" si="311"/>
        <v>0.875</v>
      </c>
      <c r="P321" s="107">
        <f t="shared" si="311"/>
        <v>0.875</v>
      </c>
      <c r="Q321" s="107">
        <f t="shared" si="311"/>
        <v>0.875</v>
      </c>
      <c r="R321" s="107">
        <f t="shared" si="311"/>
        <v>0.875</v>
      </c>
      <c r="S321" s="107">
        <f t="shared" si="311"/>
        <v>0.875</v>
      </c>
      <c r="T321" s="107">
        <f t="shared" si="311"/>
        <v>0.875</v>
      </c>
      <c r="U321" s="107">
        <f t="shared" si="311"/>
        <v>0.875</v>
      </c>
      <c r="V321" s="107">
        <f t="shared" si="311"/>
        <v>0.875</v>
      </c>
      <c r="W321" s="107">
        <f t="shared" si="311"/>
        <v>0.875</v>
      </c>
    </row>
    <row r="322" spans="1:23" hidden="1" outlineLevel="1" x14ac:dyDescent="0.3">
      <c r="A322" s="112">
        <v>2038</v>
      </c>
      <c r="B322" s="107">
        <f t="shared" si="310"/>
        <v>1</v>
      </c>
      <c r="C322" s="107">
        <f t="shared" si="308"/>
        <v>1</v>
      </c>
      <c r="D322" s="107">
        <f t="shared" si="308"/>
        <v>1.092727</v>
      </c>
      <c r="E322" s="107"/>
      <c r="F322" s="107"/>
      <c r="G322" s="107"/>
      <c r="H322" s="107">
        <f t="shared" si="311"/>
        <v>1</v>
      </c>
      <c r="I322" s="107">
        <f t="shared" si="311"/>
        <v>1</v>
      </c>
      <c r="J322" s="107">
        <f t="shared" si="311"/>
        <v>1</v>
      </c>
      <c r="K322" s="107">
        <f t="shared" si="311"/>
        <v>1</v>
      </c>
      <c r="L322" s="107">
        <f t="shared" si="311"/>
        <v>1</v>
      </c>
      <c r="M322" s="107">
        <f t="shared" si="311"/>
        <v>1</v>
      </c>
      <c r="N322" s="107">
        <f t="shared" si="311"/>
        <v>1</v>
      </c>
      <c r="O322" s="107">
        <f t="shared" si="311"/>
        <v>1</v>
      </c>
      <c r="P322" s="107">
        <f t="shared" si="311"/>
        <v>1</v>
      </c>
      <c r="Q322" s="107">
        <f t="shared" si="311"/>
        <v>1</v>
      </c>
      <c r="R322" s="107">
        <f t="shared" si="311"/>
        <v>1</v>
      </c>
      <c r="S322" s="107">
        <f t="shared" si="311"/>
        <v>1</v>
      </c>
      <c r="T322" s="107">
        <f t="shared" si="311"/>
        <v>1</v>
      </c>
      <c r="U322" s="107">
        <f t="shared" si="311"/>
        <v>1</v>
      </c>
      <c r="V322" s="107">
        <f t="shared" si="311"/>
        <v>1</v>
      </c>
      <c r="W322" s="107">
        <f t="shared" si="311"/>
        <v>1</v>
      </c>
    </row>
    <row r="323" spans="1:23" hidden="1" outlineLevel="1" x14ac:dyDescent="0.3">
      <c r="A323" s="112">
        <v>2039</v>
      </c>
      <c r="B323" s="107">
        <f t="shared" si="310"/>
        <v>1</v>
      </c>
      <c r="C323" s="107">
        <f t="shared" si="308"/>
        <v>1.03</v>
      </c>
      <c r="D323" s="107">
        <f t="shared" si="308"/>
        <v>1.1255088099999999</v>
      </c>
      <c r="E323" s="107"/>
      <c r="F323" s="107"/>
      <c r="G323" s="107"/>
      <c r="H323" s="107">
        <f t="shared" si="311"/>
        <v>1.03</v>
      </c>
      <c r="I323" s="107">
        <f t="shared" si="311"/>
        <v>1.03</v>
      </c>
      <c r="J323" s="107">
        <f t="shared" si="311"/>
        <v>1.03</v>
      </c>
      <c r="K323" s="107">
        <f t="shared" si="311"/>
        <v>1.03</v>
      </c>
      <c r="L323" s="107">
        <f t="shared" si="311"/>
        <v>1.03</v>
      </c>
      <c r="M323" s="107">
        <f t="shared" si="311"/>
        <v>1.03</v>
      </c>
      <c r="N323" s="107">
        <f t="shared" si="311"/>
        <v>1.03</v>
      </c>
      <c r="O323" s="107">
        <f t="shared" si="311"/>
        <v>1.03</v>
      </c>
      <c r="P323" s="107">
        <f t="shared" si="311"/>
        <v>1.03</v>
      </c>
      <c r="Q323" s="107">
        <f t="shared" si="311"/>
        <v>1.03</v>
      </c>
      <c r="R323" s="107">
        <f t="shared" si="311"/>
        <v>1.03</v>
      </c>
      <c r="S323" s="107">
        <f t="shared" si="311"/>
        <v>1.03</v>
      </c>
      <c r="T323" s="107">
        <f t="shared" si="311"/>
        <v>1.03</v>
      </c>
      <c r="U323" s="107">
        <f t="shared" si="311"/>
        <v>1.03</v>
      </c>
      <c r="V323" s="107">
        <f t="shared" si="311"/>
        <v>1.03</v>
      </c>
      <c r="W323" s="107">
        <f t="shared" si="311"/>
        <v>1.03</v>
      </c>
    </row>
    <row r="324" spans="1:23" hidden="1" outlineLevel="1" x14ac:dyDescent="0.3">
      <c r="A324" s="112">
        <v>2040</v>
      </c>
      <c r="B324" s="107">
        <f t="shared" si="310"/>
        <v>1</v>
      </c>
      <c r="C324" s="107">
        <f t="shared" si="308"/>
        <v>1.0609</v>
      </c>
      <c r="D324" s="107">
        <f t="shared" si="308"/>
        <v>1.1592740742999998</v>
      </c>
      <c r="E324" s="107"/>
      <c r="F324" s="107"/>
      <c r="G324" s="107"/>
      <c r="H324" s="107">
        <f t="shared" si="311"/>
        <v>1.0609</v>
      </c>
      <c r="I324" s="107">
        <f t="shared" si="311"/>
        <v>1.0609</v>
      </c>
      <c r="J324" s="107">
        <f t="shared" si="311"/>
        <v>1.0609</v>
      </c>
      <c r="K324" s="107">
        <f t="shared" si="311"/>
        <v>1.0609</v>
      </c>
      <c r="L324" s="107">
        <f t="shared" si="311"/>
        <v>1.0609</v>
      </c>
      <c r="M324" s="107">
        <f t="shared" si="311"/>
        <v>1.0609</v>
      </c>
      <c r="N324" s="107">
        <f t="shared" si="311"/>
        <v>1.0609</v>
      </c>
      <c r="O324" s="107">
        <f t="shared" si="311"/>
        <v>1.0609</v>
      </c>
      <c r="P324" s="107">
        <f t="shared" si="311"/>
        <v>1.0609</v>
      </c>
      <c r="Q324" s="107">
        <f t="shared" si="311"/>
        <v>1.0609</v>
      </c>
      <c r="R324" s="107">
        <f t="shared" si="311"/>
        <v>1.0609</v>
      </c>
      <c r="S324" s="107">
        <f t="shared" si="311"/>
        <v>1.0609</v>
      </c>
      <c r="T324" s="107">
        <f t="shared" si="311"/>
        <v>1.0609</v>
      </c>
      <c r="U324" s="107">
        <f t="shared" si="311"/>
        <v>1.0609</v>
      </c>
      <c r="V324" s="107">
        <f t="shared" si="311"/>
        <v>1.0609</v>
      </c>
      <c r="W324" s="107">
        <f t="shared" si="311"/>
        <v>1.0609</v>
      </c>
    </row>
    <row r="325" spans="1:23" hidden="1" outlineLevel="1" x14ac:dyDescent="0.3">
      <c r="A325" s="112">
        <v>2041</v>
      </c>
      <c r="B325" s="107">
        <f t="shared" si="310"/>
        <v>1</v>
      </c>
      <c r="C325" s="107">
        <f t="shared" si="308"/>
        <v>1.092727</v>
      </c>
      <c r="D325" s="107">
        <f t="shared" si="308"/>
        <v>1.1940522965289999</v>
      </c>
      <c r="E325" s="107"/>
      <c r="F325" s="107"/>
      <c r="G325" s="107"/>
      <c r="H325" s="107">
        <f t="shared" si="311"/>
        <v>1.092727</v>
      </c>
      <c r="I325" s="107">
        <f t="shared" si="311"/>
        <v>1.092727</v>
      </c>
      <c r="J325" s="107">
        <f t="shared" si="311"/>
        <v>1.092727</v>
      </c>
      <c r="K325" s="107">
        <f t="shared" si="311"/>
        <v>1.092727</v>
      </c>
      <c r="L325" s="107">
        <f t="shared" si="311"/>
        <v>1.092727</v>
      </c>
      <c r="M325" s="107">
        <f t="shared" si="311"/>
        <v>1.092727</v>
      </c>
      <c r="N325" s="107">
        <f t="shared" si="311"/>
        <v>1.092727</v>
      </c>
      <c r="O325" s="107">
        <f t="shared" si="311"/>
        <v>1.092727</v>
      </c>
      <c r="P325" s="107">
        <f t="shared" si="311"/>
        <v>1.092727</v>
      </c>
      <c r="Q325" s="107">
        <f t="shared" si="311"/>
        <v>1.092727</v>
      </c>
      <c r="R325" s="107">
        <f t="shared" si="311"/>
        <v>1.092727</v>
      </c>
      <c r="S325" s="107">
        <f t="shared" si="311"/>
        <v>1.092727</v>
      </c>
      <c r="T325" s="107">
        <f t="shared" si="311"/>
        <v>1.092727</v>
      </c>
      <c r="U325" s="107">
        <f t="shared" si="311"/>
        <v>1.092727</v>
      </c>
      <c r="V325" s="107">
        <f t="shared" si="311"/>
        <v>1.092727</v>
      </c>
      <c r="W325" s="107">
        <f t="shared" si="311"/>
        <v>1.092727</v>
      </c>
    </row>
    <row r="326" spans="1:23" hidden="1" outlineLevel="1" x14ac:dyDescent="0.3">
      <c r="A326" s="112">
        <v>2042</v>
      </c>
      <c r="B326" s="107">
        <f t="shared" si="310"/>
        <v>1</v>
      </c>
      <c r="C326" s="107">
        <f t="shared" si="308"/>
        <v>1.1255088099999999</v>
      </c>
      <c r="D326" s="107">
        <f t="shared" si="308"/>
        <v>1.22987386542487</v>
      </c>
      <c r="E326" s="107"/>
      <c r="F326" s="107"/>
      <c r="G326" s="107"/>
      <c r="H326" s="107">
        <f t="shared" si="311"/>
        <v>1.1255088099999999</v>
      </c>
      <c r="I326" s="107">
        <f t="shared" si="311"/>
        <v>1.1255088099999999</v>
      </c>
      <c r="J326" s="107">
        <f t="shared" si="311"/>
        <v>1.1255088099999999</v>
      </c>
      <c r="K326" s="107">
        <f t="shared" si="311"/>
        <v>1.1255088099999999</v>
      </c>
      <c r="L326" s="107">
        <f t="shared" si="311"/>
        <v>1.1255088099999999</v>
      </c>
      <c r="M326" s="107">
        <f t="shared" si="311"/>
        <v>1.1255088099999999</v>
      </c>
      <c r="N326" s="107">
        <f t="shared" si="311"/>
        <v>1.1255088099999999</v>
      </c>
      <c r="O326" s="107">
        <f t="shared" si="311"/>
        <v>1.1255088099999999</v>
      </c>
      <c r="P326" s="107">
        <f t="shared" si="311"/>
        <v>1.1255088099999999</v>
      </c>
      <c r="Q326" s="107">
        <f t="shared" si="311"/>
        <v>1.1255088099999999</v>
      </c>
      <c r="R326" s="107">
        <f t="shared" si="311"/>
        <v>1.1255088099999999</v>
      </c>
      <c r="S326" s="107">
        <f t="shared" si="311"/>
        <v>1.1255088099999999</v>
      </c>
      <c r="T326" s="107">
        <f t="shared" si="311"/>
        <v>1.1255088099999999</v>
      </c>
      <c r="U326" s="107">
        <f t="shared" ref="I326:W341" si="312">IF($A326&lt;U$29,0,IF($A326&gt;=U$272,(1+U$273)^($A326-U$272),($A326-U$29)/(U$272-U$29)))</f>
        <v>1.1255088099999999</v>
      </c>
      <c r="V326" s="107">
        <f t="shared" si="312"/>
        <v>1.1255088099999999</v>
      </c>
      <c r="W326" s="107">
        <f t="shared" si="312"/>
        <v>1.1255088099999999</v>
      </c>
    </row>
    <row r="327" spans="1:23" hidden="1" outlineLevel="1" x14ac:dyDescent="0.3">
      <c r="A327" s="112">
        <v>2043</v>
      </c>
      <c r="B327" s="107">
        <f t="shared" si="310"/>
        <v>1</v>
      </c>
      <c r="C327" s="107">
        <f t="shared" si="310"/>
        <v>1.1592740742999998</v>
      </c>
      <c r="D327" s="107">
        <f t="shared" si="310"/>
        <v>1.2667700813876159</v>
      </c>
      <c r="E327" s="107"/>
      <c r="F327" s="107"/>
      <c r="G327" s="107"/>
      <c r="H327" s="107">
        <f t="shared" si="311"/>
        <v>1.1592740742999998</v>
      </c>
      <c r="I327" s="107">
        <f t="shared" si="312"/>
        <v>1.1592740742999998</v>
      </c>
      <c r="J327" s="107">
        <f t="shared" si="312"/>
        <v>1.1592740742999998</v>
      </c>
      <c r="K327" s="107">
        <f t="shared" si="312"/>
        <v>1.1592740742999998</v>
      </c>
      <c r="L327" s="107">
        <f t="shared" si="312"/>
        <v>1.1592740742999998</v>
      </c>
      <c r="M327" s="107">
        <f t="shared" si="312"/>
        <v>1.1592740742999998</v>
      </c>
      <c r="N327" s="107">
        <f t="shared" si="312"/>
        <v>1.1592740742999998</v>
      </c>
      <c r="O327" s="107">
        <f t="shared" si="312"/>
        <v>1.1592740742999998</v>
      </c>
      <c r="P327" s="107">
        <f t="shared" si="312"/>
        <v>1.1592740742999998</v>
      </c>
      <c r="Q327" s="107">
        <f t="shared" si="312"/>
        <v>1.1592740742999998</v>
      </c>
      <c r="R327" s="107">
        <f t="shared" si="312"/>
        <v>1.1592740742999998</v>
      </c>
      <c r="S327" s="107">
        <f t="shared" si="312"/>
        <v>1.1592740742999998</v>
      </c>
      <c r="T327" s="107">
        <f t="shared" si="312"/>
        <v>1.1592740742999998</v>
      </c>
      <c r="U327" s="107">
        <f t="shared" si="312"/>
        <v>1.1592740742999998</v>
      </c>
      <c r="V327" s="107">
        <f t="shared" si="312"/>
        <v>1.1592740742999998</v>
      </c>
      <c r="W327" s="107">
        <f t="shared" si="312"/>
        <v>1.1592740742999998</v>
      </c>
    </row>
    <row r="328" spans="1:23" hidden="1" outlineLevel="1" x14ac:dyDescent="0.3">
      <c r="A328" s="112">
        <v>2044</v>
      </c>
      <c r="B328" s="107">
        <f t="shared" si="310"/>
        <v>1</v>
      </c>
      <c r="C328" s="107">
        <f t="shared" si="310"/>
        <v>1.1940522965289999</v>
      </c>
      <c r="D328" s="107">
        <f t="shared" si="310"/>
        <v>1.3047731838292445</v>
      </c>
      <c r="E328" s="107"/>
      <c r="F328" s="107"/>
      <c r="G328" s="107"/>
      <c r="H328" s="107">
        <f t="shared" si="311"/>
        <v>1.1940522965289999</v>
      </c>
      <c r="I328" s="107">
        <f t="shared" si="312"/>
        <v>1.1940522965289999</v>
      </c>
      <c r="J328" s="107">
        <f t="shared" si="312"/>
        <v>1.1940522965289999</v>
      </c>
      <c r="K328" s="107">
        <f t="shared" si="312"/>
        <v>1.1940522965289999</v>
      </c>
      <c r="L328" s="107">
        <f t="shared" si="312"/>
        <v>1.1940522965289999</v>
      </c>
      <c r="M328" s="107">
        <f t="shared" si="312"/>
        <v>1.1940522965289999</v>
      </c>
      <c r="N328" s="107">
        <f t="shared" si="312"/>
        <v>1.1940522965289999</v>
      </c>
      <c r="O328" s="107">
        <f t="shared" si="312"/>
        <v>1.1940522965289999</v>
      </c>
      <c r="P328" s="107">
        <f t="shared" si="312"/>
        <v>1.1940522965289999</v>
      </c>
      <c r="Q328" s="107">
        <f t="shared" si="312"/>
        <v>1.1940522965289999</v>
      </c>
      <c r="R328" s="107">
        <f t="shared" si="312"/>
        <v>1.1940522965289999</v>
      </c>
      <c r="S328" s="107">
        <f t="shared" si="312"/>
        <v>1.1940522965289999</v>
      </c>
      <c r="T328" s="107">
        <f t="shared" si="312"/>
        <v>1.1940522965289999</v>
      </c>
      <c r="U328" s="107">
        <f t="shared" si="312"/>
        <v>1.1940522965289999</v>
      </c>
      <c r="V328" s="107">
        <f t="shared" si="312"/>
        <v>1.1940522965289999</v>
      </c>
      <c r="W328" s="107">
        <f t="shared" si="312"/>
        <v>1.1940522965289999</v>
      </c>
    </row>
    <row r="329" spans="1:23" hidden="1" outlineLevel="1" x14ac:dyDescent="0.3">
      <c r="A329" s="112">
        <v>2045</v>
      </c>
      <c r="B329" s="107">
        <f t="shared" si="310"/>
        <v>1</v>
      </c>
      <c r="C329" s="107">
        <f t="shared" si="310"/>
        <v>1.22987386542487</v>
      </c>
      <c r="D329" s="107">
        <f t="shared" si="310"/>
        <v>1.3439163793441218</v>
      </c>
      <c r="E329" s="107"/>
      <c r="F329" s="107"/>
      <c r="G329" s="107"/>
      <c r="H329" s="107">
        <f t="shared" si="311"/>
        <v>1.22987386542487</v>
      </c>
      <c r="I329" s="107">
        <f t="shared" si="312"/>
        <v>1.22987386542487</v>
      </c>
      <c r="J329" s="107">
        <f t="shared" si="312"/>
        <v>1.22987386542487</v>
      </c>
      <c r="K329" s="107">
        <f t="shared" si="312"/>
        <v>1.22987386542487</v>
      </c>
      <c r="L329" s="107">
        <f t="shared" si="312"/>
        <v>1.22987386542487</v>
      </c>
      <c r="M329" s="107">
        <f t="shared" si="312"/>
        <v>1.22987386542487</v>
      </c>
      <c r="N329" s="107">
        <f t="shared" si="312"/>
        <v>1.22987386542487</v>
      </c>
      <c r="O329" s="107">
        <f t="shared" si="312"/>
        <v>1.22987386542487</v>
      </c>
      <c r="P329" s="107">
        <f t="shared" si="312"/>
        <v>1.22987386542487</v>
      </c>
      <c r="Q329" s="107">
        <f t="shared" si="312"/>
        <v>1.22987386542487</v>
      </c>
      <c r="R329" s="107">
        <f t="shared" si="312"/>
        <v>1.22987386542487</v>
      </c>
      <c r="S329" s="107">
        <f t="shared" si="312"/>
        <v>1.22987386542487</v>
      </c>
      <c r="T329" s="107">
        <f t="shared" si="312"/>
        <v>1.22987386542487</v>
      </c>
      <c r="U329" s="107">
        <f t="shared" si="312"/>
        <v>1.22987386542487</v>
      </c>
      <c r="V329" s="107">
        <f t="shared" si="312"/>
        <v>1.22987386542487</v>
      </c>
      <c r="W329" s="107">
        <f t="shared" si="312"/>
        <v>1.22987386542487</v>
      </c>
    </row>
    <row r="330" spans="1:23" hidden="1" outlineLevel="1" x14ac:dyDescent="0.3">
      <c r="A330" s="112">
        <v>2046</v>
      </c>
      <c r="B330" s="107">
        <f t="shared" si="310"/>
        <v>1</v>
      </c>
      <c r="C330" s="107">
        <f t="shared" si="310"/>
        <v>1.2667700813876159</v>
      </c>
      <c r="D330" s="107">
        <f t="shared" si="310"/>
        <v>1.3842338707244455</v>
      </c>
      <c r="E330" s="107"/>
      <c r="F330" s="107"/>
      <c r="G330" s="107"/>
      <c r="H330" s="107">
        <f t="shared" si="311"/>
        <v>1.2667700813876159</v>
      </c>
      <c r="I330" s="107">
        <f t="shared" si="312"/>
        <v>1.2667700813876159</v>
      </c>
      <c r="J330" s="107">
        <f t="shared" si="312"/>
        <v>1.2667700813876159</v>
      </c>
      <c r="K330" s="107">
        <f t="shared" si="312"/>
        <v>1.2667700813876159</v>
      </c>
      <c r="L330" s="107">
        <f t="shared" si="312"/>
        <v>1.2667700813876159</v>
      </c>
      <c r="M330" s="107">
        <f t="shared" si="312"/>
        <v>1.2667700813876159</v>
      </c>
      <c r="N330" s="107">
        <f t="shared" si="312"/>
        <v>1.2667700813876159</v>
      </c>
      <c r="O330" s="107">
        <f t="shared" si="312"/>
        <v>1.2667700813876159</v>
      </c>
      <c r="P330" s="107">
        <f t="shared" si="312"/>
        <v>1.2667700813876159</v>
      </c>
      <c r="Q330" s="107">
        <f t="shared" si="312"/>
        <v>1.2667700813876159</v>
      </c>
      <c r="R330" s="107">
        <f t="shared" si="312"/>
        <v>1.2667700813876159</v>
      </c>
      <c r="S330" s="107">
        <f t="shared" si="312"/>
        <v>1.2667700813876159</v>
      </c>
      <c r="T330" s="107">
        <f t="shared" si="312"/>
        <v>1.2667700813876159</v>
      </c>
      <c r="U330" s="107">
        <f t="shared" si="312"/>
        <v>1.2667700813876159</v>
      </c>
      <c r="V330" s="107">
        <f t="shared" si="312"/>
        <v>1.2667700813876159</v>
      </c>
      <c r="W330" s="107">
        <f t="shared" si="312"/>
        <v>1.2667700813876159</v>
      </c>
    </row>
    <row r="331" spans="1:23" hidden="1" outlineLevel="1" x14ac:dyDescent="0.3">
      <c r="A331" s="112">
        <v>2047</v>
      </c>
      <c r="B331" s="107">
        <f t="shared" si="310"/>
        <v>1</v>
      </c>
      <c r="C331" s="107">
        <f t="shared" si="310"/>
        <v>1.3047731838292445</v>
      </c>
      <c r="D331" s="107">
        <f t="shared" si="310"/>
        <v>1.4257608868461786</v>
      </c>
      <c r="E331" s="107"/>
      <c r="F331" s="107"/>
      <c r="G331" s="107"/>
      <c r="H331" s="107">
        <f t="shared" si="311"/>
        <v>1.3047731838292445</v>
      </c>
      <c r="I331" s="107">
        <f t="shared" si="312"/>
        <v>1.3047731838292445</v>
      </c>
      <c r="J331" s="107">
        <f t="shared" si="312"/>
        <v>1.3047731838292445</v>
      </c>
      <c r="K331" s="107">
        <f t="shared" si="312"/>
        <v>1.3047731838292445</v>
      </c>
      <c r="L331" s="107">
        <f t="shared" si="312"/>
        <v>1.3047731838292445</v>
      </c>
      <c r="M331" s="107">
        <f t="shared" si="312"/>
        <v>1.3047731838292445</v>
      </c>
      <c r="N331" s="107">
        <f t="shared" si="312"/>
        <v>1.3047731838292445</v>
      </c>
      <c r="O331" s="107">
        <f t="shared" si="312"/>
        <v>1.3047731838292445</v>
      </c>
      <c r="P331" s="107">
        <f t="shared" si="312"/>
        <v>1.3047731838292445</v>
      </c>
      <c r="Q331" s="107">
        <f t="shared" si="312"/>
        <v>1.3047731838292445</v>
      </c>
      <c r="R331" s="107">
        <f t="shared" si="312"/>
        <v>1.3047731838292445</v>
      </c>
      <c r="S331" s="107">
        <f t="shared" si="312"/>
        <v>1.3047731838292445</v>
      </c>
      <c r="T331" s="107">
        <f t="shared" si="312"/>
        <v>1.3047731838292445</v>
      </c>
      <c r="U331" s="107">
        <f t="shared" si="312"/>
        <v>1.3047731838292445</v>
      </c>
      <c r="V331" s="107">
        <f t="shared" si="312"/>
        <v>1.3047731838292445</v>
      </c>
      <c r="W331" s="107">
        <f t="shared" si="312"/>
        <v>1.3047731838292445</v>
      </c>
    </row>
    <row r="332" spans="1:23" hidden="1" outlineLevel="1" x14ac:dyDescent="0.3">
      <c r="A332" s="112">
        <v>2048</v>
      </c>
      <c r="B332" s="107">
        <f t="shared" si="310"/>
        <v>1</v>
      </c>
      <c r="C332" s="107">
        <f t="shared" si="310"/>
        <v>1.3439163793441218</v>
      </c>
      <c r="D332" s="107">
        <f t="shared" si="310"/>
        <v>1.4685337134515639</v>
      </c>
      <c r="E332" s="107"/>
      <c r="F332" s="107"/>
      <c r="G332" s="107"/>
      <c r="H332" s="107">
        <f t="shared" si="311"/>
        <v>1.3439163793441218</v>
      </c>
      <c r="I332" s="107">
        <f t="shared" si="312"/>
        <v>1.3439163793441218</v>
      </c>
      <c r="J332" s="107">
        <f t="shared" si="312"/>
        <v>1.3439163793441218</v>
      </c>
      <c r="K332" s="107">
        <f t="shared" si="312"/>
        <v>1.3439163793441218</v>
      </c>
      <c r="L332" s="107">
        <f t="shared" si="312"/>
        <v>1.3439163793441218</v>
      </c>
      <c r="M332" s="107">
        <f t="shared" si="312"/>
        <v>1.3439163793441218</v>
      </c>
      <c r="N332" s="107">
        <f t="shared" si="312"/>
        <v>1.3439163793441218</v>
      </c>
      <c r="O332" s="107">
        <f t="shared" si="312"/>
        <v>1.3439163793441218</v>
      </c>
      <c r="P332" s="107">
        <f t="shared" si="312"/>
        <v>1.3439163793441218</v>
      </c>
      <c r="Q332" s="107">
        <f t="shared" si="312"/>
        <v>1.3439163793441218</v>
      </c>
      <c r="R332" s="107">
        <f t="shared" si="312"/>
        <v>1.3439163793441218</v>
      </c>
      <c r="S332" s="107">
        <f t="shared" si="312"/>
        <v>1.3439163793441218</v>
      </c>
      <c r="T332" s="107">
        <f t="shared" si="312"/>
        <v>1.3439163793441218</v>
      </c>
      <c r="U332" s="107">
        <f t="shared" si="312"/>
        <v>1.3439163793441218</v>
      </c>
      <c r="V332" s="107">
        <f t="shared" si="312"/>
        <v>1.3439163793441218</v>
      </c>
      <c r="W332" s="107">
        <f t="shared" si="312"/>
        <v>1.3439163793441218</v>
      </c>
    </row>
    <row r="333" spans="1:23" hidden="1" outlineLevel="1" x14ac:dyDescent="0.3">
      <c r="A333" s="112">
        <v>2049</v>
      </c>
      <c r="B333" s="107">
        <f t="shared" si="310"/>
        <v>1</v>
      </c>
      <c r="C333" s="107">
        <f t="shared" si="310"/>
        <v>1.3842338707244455</v>
      </c>
      <c r="D333" s="107">
        <f t="shared" si="310"/>
        <v>1.512589724855111</v>
      </c>
      <c r="E333" s="107"/>
      <c r="F333" s="107"/>
      <c r="G333" s="107"/>
      <c r="H333" s="107">
        <f t="shared" si="311"/>
        <v>1.3842338707244455</v>
      </c>
      <c r="I333" s="107">
        <f t="shared" si="312"/>
        <v>1.3842338707244455</v>
      </c>
      <c r="J333" s="107">
        <f t="shared" si="312"/>
        <v>1.3842338707244455</v>
      </c>
      <c r="K333" s="107">
        <f t="shared" si="312"/>
        <v>1.3842338707244455</v>
      </c>
      <c r="L333" s="107">
        <f t="shared" si="312"/>
        <v>1.3842338707244455</v>
      </c>
      <c r="M333" s="107">
        <f t="shared" si="312"/>
        <v>1.3842338707244455</v>
      </c>
      <c r="N333" s="107">
        <f t="shared" si="312"/>
        <v>1.3842338707244455</v>
      </c>
      <c r="O333" s="107">
        <f t="shared" si="312"/>
        <v>1.3842338707244455</v>
      </c>
      <c r="P333" s="107">
        <f t="shared" si="312"/>
        <v>1.3842338707244455</v>
      </c>
      <c r="Q333" s="107">
        <f t="shared" si="312"/>
        <v>1.3842338707244455</v>
      </c>
      <c r="R333" s="107">
        <f t="shared" si="312"/>
        <v>1.3842338707244455</v>
      </c>
      <c r="S333" s="107">
        <f t="shared" si="312"/>
        <v>1.3842338707244455</v>
      </c>
      <c r="T333" s="107">
        <f t="shared" si="312"/>
        <v>1.3842338707244455</v>
      </c>
      <c r="U333" s="107">
        <f t="shared" si="312"/>
        <v>1.3842338707244455</v>
      </c>
      <c r="V333" s="107">
        <f t="shared" si="312"/>
        <v>1.3842338707244455</v>
      </c>
      <c r="W333" s="107">
        <f t="shared" si="312"/>
        <v>1.3842338707244455</v>
      </c>
    </row>
    <row r="334" spans="1:23" hidden="1" outlineLevel="1" x14ac:dyDescent="0.3">
      <c r="A334" s="112">
        <v>2050</v>
      </c>
      <c r="B334" s="107">
        <f t="shared" si="310"/>
        <v>1</v>
      </c>
      <c r="C334" s="107">
        <f t="shared" si="310"/>
        <v>1.4257608868461786</v>
      </c>
      <c r="D334" s="107">
        <f t="shared" si="310"/>
        <v>1.5579674166007644</v>
      </c>
      <c r="E334" s="107"/>
      <c r="F334" s="107"/>
      <c r="G334" s="107"/>
      <c r="H334" s="107">
        <f t="shared" si="311"/>
        <v>1.4257608868461786</v>
      </c>
      <c r="I334" s="107">
        <f t="shared" si="312"/>
        <v>1.4257608868461786</v>
      </c>
      <c r="J334" s="107">
        <f t="shared" si="312"/>
        <v>1.4257608868461786</v>
      </c>
      <c r="K334" s="107">
        <f t="shared" si="312"/>
        <v>1.4257608868461786</v>
      </c>
      <c r="L334" s="107">
        <f t="shared" si="312"/>
        <v>1.4257608868461786</v>
      </c>
      <c r="M334" s="107">
        <f t="shared" si="312"/>
        <v>1.4257608868461786</v>
      </c>
      <c r="N334" s="107">
        <f t="shared" si="312"/>
        <v>1.4257608868461786</v>
      </c>
      <c r="O334" s="107">
        <f t="shared" si="312"/>
        <v>1.4257608868461786</v>
      </c>
      <c r="P334" s="107">
        <f t="shared" si="312"/>
        <v>1.4257608868461786</v>
      </c>
      <c r="Q334" s="107">
        <f t="shared" si="312"/>
        <v>1.4257608868461786</v>
      </c>
      <c r="R334" s="107">
        <f t="shared" si="312"/>
        <v>1.4257608868461786</v>
      </c>
      <c r="S334" s="107">
        <f t="shared" si="312"/>
        <v>1.4257608868461786</v>
      </c>
      <c r="T334" s="107">
        <f t="shared" si="312"/>
        <v>1.4257608868461786</v>
      </c>
      <c r="U334" s="107">
        <f t="shared" si="312"/>
        <v>1.4257608868461786</v>
      </c>
      <c r="V334" s="107">
        <f t="shared" si="312"/>
        <v>1.4257608868461786</v>
      </c>
      <c r="W334" s="107">
        <f t="shared" si="312"/>
        <v>1.4257608868461786</v>
      </c>
    </row>
    <row r="335" spans="1:23" hidden="1" outlineLevel="1" x14ac:dyDescent="0.3">
      <c r="A335" s="112">
        <v>2051</v>
      </c>
      <c r="B335" s="107">
        <f t="shared" si="310"/>
        <v>1</v>
      </c>
      <c r="C335" s="107">
        <f t="shared" si="310"/>
        <v>1.4685337134515639</v>
      </c>
      <c r="D335" s="107">
        <f t="shared" si="310"/>
        <v>1.6047064390987871</v>
      </c>
      <c r="E335" s="107"/>
      <c r="F335" s="107"/>
      <c r="G335" s="107"/>
      <c r="H335" s="107">
        <f t="shared" si="311"/>
        <v>1.4685337134515639</v>
      </c>
      <c r="I335" s="107">
        <f t="shared" si="312"/>
        <v>1.4685337134515639</v>
      </c>
      <c r="J335" s="107">
        <f t="shared" si="312"/>
        <v>1.4685337134515639</v>
      </c>
      <c r="K335" s="107">
        <f t="shared" si="312"/>
        <v>1.4685337134515639</v>
      </c>
      <c r="L335" s="107">
        <f t="shared" si="312"/>
        <v>1.4685337134515639</v>
      </c>
      <c r="M335" s="107">
        <f t="shared" si="312"/>
        <v>1.4685337134515639</v>
      </c>
      <c r="N335" s="107">
        <f t="shared" si="312"/>
        <v>1.4685337134515639</v>
      </c>
      <c r="O335" s="107">
        <f t="shared" si="312"/>
        <v>1.4685337134515639</v>
      </c>
      <c r="P335" s="107">
        <f t="shared" si="312"/>
        <v>1.4685337134515639</v>
      </c>
      <c r="Q335" s="107">
        <f t="shared" si="312"/>
        <v>1.4685337134515639</v>
      </c>
      <c r="R335" s="107">
        <f t="shared" si="312"/>
        <v>1.4685337134515639</v>
      </c>
      <c r="S335" s="107">
        <f t="shared" si="312"/>
        <v>1.4685337134515639</v>
      </c>
      <c r="T335" s="107">
        <f t="shared" si="312"/>
        <v>1.4685337134515639</v>
      </c>
      <c r="U335" s="107">
        <f t="shared" si="312"/>
        <v>1.4685337134515639</v>
      </c>
      <c r="V335" s="107">
        <f t="shared" si="312"/>
        <v>1.4685337134515639</v>
      </c>
      <c r="W335" s="107">
        <f t="shared" si="312"/>
        <v>1.4685337134515639</v>
      </c>
    </row>
    <row r="336" spans="1:23" hidden="1" outlineLevel="1" x14ac:dyDescent="0.3">
      <c r="A336" s="112">
        <v>2052</v>
      </c>
      <c r="B336" s="107">
        <f t="shared" si="310"/>
        <v>1</v>
      </c>
      <c r="C336" s="107">
        <f t="shared" si="310"/>
        <v>1.512589724855111</v>
      </c>
      <c r="D336" s="107">
        <f t="shared" si="310"/>
        <v>1.6528476322717507</v>
      </c>
      <c r="E336" s="107"/>
      <c r="F336" s="107"/>
      <c r="G336" s="107"/>
      <c r="H336" s="107">
        <f t="shared" si="311"/>
        <v>1.512589724855111</v>
      </c>
      <c r="I336" s="107">
        <f t="shared" si="312"/>
        <v>1.512589724855111</v>
      </c>
      <c r="J336" s="107">
        <f t="shared" si="312"/>
        <v>1.512589724855111</v>
      </c>
      <c r="K336" s="107">
        <f t="shared" si="312"/>
        <v>1.512589724855111</v>
      </c>
      <c r="L336" s="107">
        <f t="shared" si="312"/>
        <v>1.512589724855111</v>
      </c>
      <c r="M336" s="107">
        <f t="shared" si="312"/>
        <v>1.512589724855111</v>
      </c>
      <c r="N336" s="107">
        <f t="shared" si="312"/>
        <v>1.512589724855111</v>
      </c>
      <c r="O336" s="107">
        <f t="shared" si="312"/>
        <v>1.512589724855111</v>
      </c>
      <c r="P336" s="107">
        <f t="shared" si="312"/>
        <v>1.512589724855111</v>
      </c>
      <c r="Q336" s="107">
        <f t="shared" si="312"/>
        <v>1.512589724855111</v>
      </c>
      <c r="R336" s="107">
        <f t="shared" si="312"/>
        <v>1.512589724855111</v>
      </c>
      <c r="S336" s="107">
        <f t="shared" si="312"/>
        <v>1.512589724855111</v>
      </c>
      <c r="T336" s="107">
        <f t="shared" si="312"/>
        <v>1.512589724855111</v>
      </c>
      <c r="U336" s="107">
        <f t="shared" si="312"/>
        <v>1.512589724855111</v>
      </c>
      <c r="V336" s="107">
        <f t="shared" si="312"/>
        <v>1.512589724855111</v>
      </c>
      <c r="W336" s="107">
        <f t="shared" si="312"/>
        <v>1.512589724855111</v>
      </c>
    </row>
    <row r="337" spans="1:23" hidden="1" outlineLevel="1" x14ac:dyDescent="0.3">
      <c r="A337" s="112">
        <v>2053</v>
      </c>
      <c r="B337" s="107">
        <f t="shared" si="310"/>
        <v>1</v>
      </c>
      <c r="C337" s="107">
        <f t="shared" si="310"/>
        <v>1.5579674166007644</v>
      </c>
      <c r="D337" s="107">
        <f t="shared" si="310"/>
        <v>1.7024330612399032</v>
      </c>
      <c r="E337" s="107"/>
      <c r="F337" s="107"/>
      <c r="G337" s="107"/>
      <c r="H337" s="107">
        <f t="shared" si="311"/>
        <v>1.5579674166007644</v>
      </c>
      <c r="I337" s="107">
        <f t="shared" si="312"/>
        <v>1.5579674166007644</v>
      </c>
      <c r="J337" s="107">
        <f t="shared" si="312"/>
        <v>1.5579674166007644</v>
      </c>
      <c r="K337" s="107">
        <f t="shared" si="312"/>
        <v>1.5579674166007644</v>
      </c>
      <c r="L337" s="107">
        <f t="shared" si="312"/>
        <v>1.5579674166007644</v>
      </c>
      <c r="M337" s="107">
        <f t="shared" si="312"/>
        <v>1.5579674166007644</v>
      </c>
      <c r="N337" s="107">
        <f t="shared" si="312"/>
        <v>1.5579674166007644</v>
      </c>
      <c r="O337" s="107">
        <f t="shared" si="312"/>
        <v>1.5579674166007644</v>
      </c>
      <c r="P337" s="107">
        <f t="shared" si="312"/>
        <v>1.5579674166007644</v>
      </c>
      <c r="Q337" s="107">
        <f t="shared" si="312"/>
        <v>1.5579674166007644</v>
      </c>
      <c r="R337" s="107">
        <f t="shared" si="312"/>
        <v>1.5579674166007644</v>
      </c>
      <c r="S337" s="107">
        <f t="shared" si="312"/>
        <v>1.5579674166007644</v>
      </c>
      <c r="T337" s="107">
        <f t="shared" si="312"/>
        <v>1.5579674166007644</v>
      </c>
      <c r="U337" s="107">
        <f t="shared" si="312"/>
        <v>1.5579674166007644</v>
      </c>
      <c r="V337" s="107">
        <f t="shared" si="312"/>
        <v>1.5579674166007644</v>
      </c>
      <c r="W337" s="107">
        <f t="shared" si="312"/>
        <v>1.5579674166007644</v>
      </c>
    </row>
    <row r="338" spans="1:23" hidden="1" outlineLevel="1" x14ac:dyDescent="0.3">
      <c r="A338" s="112">
        <v>2054</v>
      </c>
      <c r="B338" s="107">
        <f t="shared" si="310"/>
        <v>1</v>
      </c>
      <c r="C338" s="107">
        <f t="shared" si="310"/>
        <v>1.6047064390987871</v>
      </c>
      <c r="D338" s="107">
        <f t="shared" si="310"/>
        <v>1.7535060530771003</v>
      </c>
      <c r="E338" s="107"/>
      <c r="F338" s="107"/>
      <c r="G338" s="107"/>
      <c r="H338" s="107">
        <f t="shared" si="311"/>
        <v>1.6047064390987871</v>
      </c>
      <c r="I338" s="107">
        <f t="shared" si="312"/>
        <v>1.6047064390987871</v>
      </c>
      <c r="J338" s="107">
        <f t="shared" si="312"/>
        <v>1.6047064390987871</v>
      </c>
      <c r="K338" s="107">
        <f t="shared" si="312"/>
        <v>1.6047064390987871</v>
      </c>
      <c r="L338" s="107">
        <f t="shared" si="312"/>
        <v>1.6047064390987871</v>
      </c>
      <c r="M338" s="107">
        <f t="shared" si="312"/>
        <v>1.6047064390987871</v>
      </c>
      <c r="N338" s="107">
        <f t="shared" si="312"/>
        <v>1.6047064390987871</v>
      </c>
      <c r="O338" s="107">
        <f t="shared" si="312"/>
        <v>1.6047064390987871</v>
      </c>
      <c r="P338" s="107">
        <f t="shared" si="312"/>
        <v>1.6047064390987871</v>
      </c>
      <c r="Q338" s="107">
        <f t="shared" si="312"/>
        <v>1.6047064390987871</v>
      </c>
      <c r="R338" s="107">
        <f t="shared" si="312"/>
        <v>1.6047064390987871</v>
      </c>
      <c r="S338" s="107">
        <f t="shared" si="312"/>
        <v>1.6047064390987871</v>
      </c>
      <c r="T338" s="107">
        <f t="shared" si="312"/>
        <v>1.6047064390987871</v>
      </c>
      <c r="U338" s="107">
        <f t="shared" si="312"/>
        <v>1.6047064390987871</v>
      </c>
      <c r="V338" s="107">
        <f t="shared" si="312"/>
        <v>1.6047064390987871</v>
      </c>
      <c r="W338" s="107">
        <f t="shared" si="312"/>
        <v>1.6047064390987871</v>
      </c>
    </row>
    <row r="339" spans="1:23" hidden="1" outlineLevel="1" x14ac:dyDescent="0.3">
      <c r="A339" s="112">
        <v>2055</v>
      </c>
      <c r="B339" s="107">
        <f t="shared" si="310"/>
        <v>1</v>
      </c>
      <c r="C339" s="107">
        <f t="shared" si="310"/>
        <v>1.6528476322717507</v>
      </c>
      <c r="D339" s="107">
        <f t="shared" si="310"/>
        <v>1.8061112346694133</v>
      </c>
      <c r="E339" s="107"/>
      <c r="F339" s="107"/>
      <c r="G339" s="107"/>
      <c r="H339" s="107">
        <f t="shared" si="311"/>
        <v>1.6528476322717507</v>
      </c>
      <c r="I339" s="107">
        <f t="shared" si="312"/>
        <v>1.6528476322717507</v>
      </c>
      <c r="J339" s="107">
        <f t="shared" si="312"/>
        <v>1.6528476322717507</v>
      </c>
      <c r="K339" s="107">
        <f t="shared" si="312"/>
        <v>1.6528476322717507</v>
      </c>
      <c r="L339" s="107">
        <f t="shared" si="312"/>
        <v>1.6528476322717507</v>
      </c>
      <c r="M339" s="107">
        <f t="shared" si="312"/>
        <v>1.6528476322717507</v>
      </c>
      <c r="N339" s="107">
        <f t="shared" si="312"/>
        <v>1.6528476322717507</v>
      </c>
      <c r="O339" s="107">
        <f t="shared" si="312"/>
        <v>1.6528476322717507</v>
      </c>
      <c r="P339" s="107">
        <f t="shared" si="312"/>
        <v>1.6528476322717507</v>
      </c>
      <c r="Q339" s="107">
        <f t="shared" si="312"/>
        <v>1.6528476322717507</v>
      </c>
      <c r="R339" s="107">
        <f t="shared" si="312"/>
        <v>1.6528476322717507</v>
      </c>
      <c r="S339" s="107">
        <f t="shared" si="312"/>
        <v>1.6528476322717507</v>
      </c>
      <c r="T339" s="107">
        <f t="shared" si="312"/>
        <v>1.6528476322717507</v>
      </c>
      <c r="U339" s="107">
        <f t="shared" si="312"/>
        <v>1.6528476322717507</v>
      </c>
      <c r="V339" s="107">
        <f t="shared" si="312"/>
        <v>1.6528476322717507</v>
      </c>
      <c r="W339" s="107">
        <f t="shared" si="312"/>
        <v>1.6528476322717507</v>
      </c>
    </row>
    <row r="340" spans="1:23" hidden="1" outlineLevel="1" x14ac:dyDescent="0.3">
      <c r="A340" s="112">
        <v>2056</v>
      </c>
      <c r="B340" s="107">
        <f t="shared" si="310"/>
        <v>1</v>
      </c>
      <c r="C340" s="107">
        <f t="shared" si="310"/>
        <v>1.7024330612399032</v>
      </c>
      <c r="D340" s="107">
        <f t="shared" si="310"/>
        <v>1.8602945717094954</v>
      </c>
      <c r="E340" s="107"/>
      <c r="F340" s="107"/>
      <c r="G340" s="107"/>
      <c r="H340" s="107">
        <f t="shared" si="311"/>
        <v>1.7024330612399032</v>
      </c>
      <c r="I340" s="107">
        <f t="shared" si="312"/>
        <v>1.7024330612399032</v>
      </c>
      <c r="J340" s="107">
        <f t="shared" si="312"/>
        <v>1.7024330612399032</v>
      </c>
      <c r="K340" s="107">
        <f t="shared" si="312"/>
        <v>1.7024330612399032</v>
      </c>
      <c r="L340" s="107">
        <f t="shared" si="312"/>
        <v>1.7024330612399032</v>
      </c>
      <c r="M340" s="107">
        <f t="shared" si="312"/>
        <v>1.7024330612399032</v>
      </c>
      <c r="N340" s="107">
        <f t="shared" si="312"/>
        <v>1.7024330612399032</v>
      </c>
      <c r="O340" s="107">
        <f t="shared" si="312"/>
        <v>1.7024330612399032</v>
      </c>
      <c r="P340" s="107">
        <f t="shared" si="312"/>
        <v>1.7024330612399032</v>
      </c>
      <c r="Q340" s="107">
        <f t="shared" si="312"/>
        <v>1.7024330612399032</v>
      </c>
      <c r="R340" s="107">
        <f t="shared" si="312"/>
        <v>1.7024330612399032</v>
      </c>
      <c r="S340" s="107">
        <f t="shared" si="312"/>
        <v>1.7024330612399032</v>
      </c>
      <c r="T340" s="107">
        <f t="shared" si="312"/>
        <v>1.7024330612399032</v>
      </c>
      <c r="U340" s="107">
        <f t="shared" si="312"/>
        <v>1.7024330612399032</v>
      </c>
      <c r="V340" s="107">
        <f t="shared" si="312"/>
        <v>1.7024330612399032</v>
      </c>
      <c r="W340" s="107">
        <f t="shared" si="312"/>
        <v>1.7024330612399032</v>
      </c>
    </row>
    <row r="341" spans="1:23" hidden="1" outlineLevel="1" x14ac:dyDescent="0.3">
      <c r="A341" s="112">
        <v>2057</v>
      </c>
      <c r="B341" s="107">
        <f t="shared" si="310"/>
        <v>1</v>
      </c>
      <c r="C341" s="107">
        <f t="shared" si="310"/>
        <v>1.7535060530771003</v>
      </c>
      <c r="D341" s="107">
        <f t="shared" si="310"/>
        <v>1.9161034088607805</v>
      </c>
      <c r="E341" s="107"/>
      <c r="F341" s="107"/>
      <c r="G341" s="107"/>
      <c r="H341" s="107">
        <f t="shared" si="311"/>
        <v>1.7535060530771003</v>
      </c>
      <c r="I341" s="107">
        <f t="shared" si="312"/>
        <v>1.7535060530771003</v>
      </c>
      <c r="J341" s="107">
        <f t="shared" si="312"/>
        <v>1.7535060530771003</v>
      </c>
      <c r="K341" s="107">
        <f t="shared" si="312"/>
        <v>1.7535060530771003</v>
      </c>
      <c r="L341" s="107">
        <f t="shared" si="312"/>
        <v>1.7535060530771003</v>
      </c>
      <c r="M341" s="107">
        <f t="shared" si="312"/>
        <v>1.7535060530771003</v>
      </c>
      <c r="N341" s="107">
        <f t="shared" si="312"/>
        <v>1.7535060530771003</v>
      </c>
      <c r="O341" s="107">
        <f t="shared" si="312"/>
        <v>1.7535060530771003</v>
      </c>
      <c r="P341" s="107">
        <f t="shared" si="312"/>
        <v>1.7535060530771003</v>
      </c>
      <c r="Q341" s="107">
        <f t="shared" si="312"/>
        <v>1.7535060530771003</v>
      </c>
      <c r="R341" s="107">
        <f t="shared" si="312"/>
        <v>1.7535060530771003</v>
      </c>
      <c r="S341" s="107">
        <f t="shared" si="312"/>
        <v>1.7535060530771003</v>
      </c>
      <c r="T341" s="107">
        <f t="shared" si="312"/>
        <v>1.7535060530771003</v>
      </c>
      <c r="U341" s="107">
        <f t="shared" si="312"/>
        <v>1.7535060530771003</v>
      </c>
      <c r="V341" s="107">
        <f t="shared" si="312"/>
        <v>1.7535060530771003</v>
      </c>
      <c r="W341" s="107">
        <f t="shared" si="312"/>
        <v>1.7535060530771003</v>
      </c>
    </row>
    <row r="342" spans="1:23" hidden="1" outlineLevel="1" x14ac:dyDescent="0.3">
      <c r="A342" s="112">
        <v>2058</v>
      </c>
      <c r="B342" s="107">
        <f t="shared" si="310"/>
        <v>1</v>
      </c>
      <c r="C342" s="107">
        <f t="shared" si="310"/>
        <v>1.8061112346694133</v>
      </c>
      <c r="D342" s="107">
        <f t="shared" si="310"/>
        <v>1.973586511126604</v>
      </c>
      <c r="E342" s="107"/>
      <c r="F342" s="107"/>
      <c r="G342" s="107"/>
      <c r="H342" s="107">
        <f t="shared" si="311"/>
        <v>1.8061112346694133</v>
      </c>
      <c r="I342" s="107">
        <f t="shared" ref="I342:W344" si="313">IF($A342&lt;I$29,0,IF($A342&gt;=I$272,(1+I$273)^($A342-I$272),($A342-I$29)/(I$272-I$29)))</f>
        <v>1.8061112346694133</v>
      </c>
      <c r="J342" s="107">
        <f t="shared" si="313"/>
        <v>1.8061112346694133</v>
      </c>
      <c r="K342" s="107">
        <f t="shared" si="313"/>
        <v>1.8061112346694133</v>
      </c>
      <c r="L342" s="107">
        <f t="shared" si="313"/>
        <v>1.8061112346694133</v>
      </c>
      <c r="M342" s="107">
        <f t="shared" si="313"/>
        <v>1.8061112346694133</v>
      </c>
      <c r="N342" s="107">
        <f t="shared" si="313"/>
        <v>1.8061112346694133</v>
      </c>
      <c r="O342" s="107">
        <f t="shared" si="313"/>
        <v>1.8061112346694133</v>
      </c>
      <c r="P342" s="107">
        <f t="shared" si="313"/>
        <v>1.8061112346694133</v>
      </c>
      <c r="Q342" s="107">
        <f t="shared" si="313"/>
        <v>1.8061112346694133</v>
      </c>
      <c r="R342" s="107">
        <f t="shared" si="313"/>
        <v>1.8061112346694133</v>
      </c>
      <c r="S342" s="107">
        <f t="shared" si="313"/>
        <v>1.8061112346694133</v>
      </c>
      <c r="T342" s="107">
        <f t="shared" si="313"/>
        <v>1.8061112346694133</v>
      </c>
      <c r="U342" s="107">
        <f t="shared" si="313"/>
        <v>1.8061112346694133</v>
      </c>
      <c r="V342" s="107">
        <f t="shared" si="313"/>
        <v>1.8061112346694133</v>
      </c>
      <c r="W342" s="107">
        <f t="shared" si="313"/>
        <v>1.8061112346694133</v>
      </c>
    </row>
    <row r="343" spans="1:23" hidden="1" outlineLevel="1" x14ac:dyDescent="0.3">
      <c r="A343" s="112">
        <v>2059</v>
      </c>
      <c r="B343" s="107">
        <f t="shared" si="310"/>
        <v>1</v>
      </c>
      <c r="C343" s="107">
        <f t="shared" si="310"/>
        <v>1.8602945717094954</v>
      </c>
      <c r="D343" s="107">
        <f t="shared" si="310"/>
        <v>2.0327941064604018</v>
      </c>
      <c r="E343" s="107"/>
      <c r="F343" s="107"/>
      <c r="G343" s="107"/>
      <c r="H343" s="107">
        <f t="shared" si="311"/>
        <v>1.8602945717094954</v>
      </c>
      <c r="I343" s="107">
        <f t="shared" si="313"/>
        <v>1.8602945717094954</v>
      </c>
      <c r="J343" s="107">
        <f t="shared" si="313"/>
        <v>1.8602945717094954</v>
      </c>
      <c r="K343" s="107">
        <f t="shared" si="313"/>
        <v>1.8602945717094954</v>
      </c>
      <c r="L343" s="107">
        <f t="shared" si="313"/>
        <v>1.8602945717094954</v>
      </c>
      <c r="M343" s="107">
        <f t="shared" si="313"/>
        <v>1.8602945717094954</v>
      </c>
      <c r="N343" s="107">
        <f t="shared" si="313"/>
        <v>1.8602945717094954</v>
      </c>
      <c r="O343" s="107">
        <f t="shared" si="313"/>
        <v>1.8602945717094954</v>
      </c>
      <c r="P343" s="107">
        <f t="shared" si="313"/>
        <v>1.8602945717094954</v>
      </c>
      <c r="Q343" s="107">
        <f t="shared" si="313"/>
        <v>1.8602945717094954</v>
      </c>
      <c r="R343" s="107">
        <f t="shared" si="313"/>
        <v>1.8602945717094954</v>
      </c>
      <c r="S343" s="107">
        <f t="shared" si="313"/>
        <v>1.8602945717094954</v>
      </c>
      <c r="T343" s="107">
        <f t="shared" si="313"/>
        <v>1.8602945717094954</v>
      </c>
      <c r="U343" s="107">
        <f t="shared" si="313"/>
        <v>1.8602945717094954</v>
      </c>
      <c r="V343" s="107">
        <f t="shared" si="313"/>
        <v>1.8602945717094954</v>
      </c>
      <c r="W343" s="107">
        <f t="shared" si="313"/>
        <v>1.8602945717094954</v>
      </c>
    </row>
    <row r="344" spans="1:23" hidden="1" outlineLevel="1" x14ac:dyDescent="0.3">
      <c r="A344" s="112">
        <v>2060</v>
      </c>
      <c r="B344" s="107">
        <f t="shared" si="310"/>
        <v>1</v>
      </c>
      <c r="C344" s="107">
        <f t="shared" si="310"/>
        <v>1.9161034088607805</v>
      </c>
      <c r="D344" s="107">
        <f t="shared" si="310"/>
        <v>2.0937779296542138</v>
      </c>
      <c r="E344" s="107"/>
      <c r="F344" s="107"/>
      <c r="G344" s="107"/>
      <c r="H344" s="107">
        <f t="shared" si="311"/>
        <v>1.9161034088607805</v>
      </c>
      <c r="I344" s="107">
        <f t="shared" si="313"/>
        <v>1.9161034088607805</v>
      </c>
      <c r="J344" s="107">
        <f t="shared" si="313"/>
        <v>1.9161034088607805</v>
      </c>
      <c r="K344" s="107">
        <f t="shared" si="313"/>
        <v>1.9161034088607805</v>
      </c>
      <c r="L344" s="107">
        <f t="shared" si="313"/>
        <v>1.9161034088607805</v>
      </c>
      <c r="M344" s="107">
        <f t="shared" si="313"/>
        <v>1.9161034088607805</v>
      </c>
      <c r="N344" s="107">
        <f t="shared" si="313"/>
        <v>1.9161034088607805</v>
      </c>
      <c r="O344" s="107">
        <f t="shared" si="313"/>
        <v>1.9161034088607805</v>
      </c>
      <c r="P344" s="107">
        <f t="shared" si="313"/>
        <v>1.9161034088607805</v>
      </c>
      <c r="Q344" s="107">
        <f t="shared" si="313"/>
        <v>1.9161034088607805</v>
      </c>
      <c r="R344" s="107">
        <f t="shared" si="313"/>
        <v>1.9161034088607805</v>
      </c>
      <c r="S344" s="107">
        <f t="shared" si="313"/>
        <v>1.9161034088607805</v>
      </c>
      <c r="T344" s="107">
        <f t="shared" si="313"/>
        <v>1.9161034088607805</v>
      </c>
      <c r="U344" s="107">
        <f t="shared" si="313"/>
        <v>1.9161034088607805</v>
      </c>
      <c r="V344" s="107">
        <f t="shared" si="313"/>
        <v>1.9161034088607805</v>
      </c>
      <c r="W344" s="107">
        <f t="shared" si="313"/>
        <v>1.9161034088607805</v>
      </c>
    </row>
    <row r="345" spans="1:23" collapsed="1" x14ac:dyDescent="0.3">
      <c r="B345" s="106"/>
      <c r="C345" s="106"/>
      <c r="D345" s="106"/>
      <c r="E345" s="106"/>
      <c r="F345" s="106"/>
      <c r="G345" s="106"/>
      <c r="H345" s="106"/>
    </row>
    <row r="346" spans="1:23" x14ac:dyDescent="0.3">
      <c r="A346" t="s">
        <v>868</v>
      </c>
      <c r="B346" s="106" cm="1">
        <f t="array" ref="B346">B27*(1-B36)*(SUMPRODUCT(B280:B308/(1+B45)^($A280:$A308-2031))+B308*(1+B273)/(B45-B273)/(1+B45)^($A308-2031))</f>
        <v>144.92753623188395</v>
      </c>
      <c r="C346" s="106" cm="1">
        <f t="array" ref="C346">C27*(1-C36)*(SUMPRODUCT(C280:C308/(1+C45)^($A280:$A308-2031))+C308*(1+C273)/(C45-C273)/(1+C45)^($A308-2031))</f>
        <v>676.10837401190588</v>
      </c>
      <c r="D346" s="106" cm="1">
        <f t="array" ref="D346">D27*(1-D36)*(SUMPRODUCT(D280:D308/(1+D45)^($A280:$A308-2031))+D308*(1+D273)/(D45-D273)/(1+D45)^($A308-2031))</f>
        <v>917.79984150091991</v>
      </c>
      <c r="E346" s="106"/>
      <c r="F346" s="106"/>
      <c r="G346" s="106"/>
      <c r="H346" s="106" cm="1">
        <f t="array" ref="H346">H27*(1-H36)*(SUMPRODUCT(H280:H308/(1+H45)^($A280:$A308-2031))+H308*(1+H273)/(H45-H273)/(1+H45)^($A308-2031))</f>
        <v>676.10837401190588</v>
      </c>
      <c r="I346" s="106" cm="1">
        <f t="array" ref="I346">I27*(1-I36)*(SUMPRODUCT(I280:I308/(1+I45)^($A280:$A308-2031))+I308*(1+I273)/(I45-I273)/(1+I45)^($A308-2031))</f>
        <v>0</v>
      </c>
      <c r="J346" s="106" cm="1">
        <f t="array" ref="J346">J27*(1-J36)*(SUMPRODUCT(J280:J308/(1+J45)^($A280:$A308-2031))+J308*(1+J273)/(J45-J273)/(1+J45)^($A308-2031))</f>
        <v>691.89944021638416</v>
      </c>
      <c r="K346" s="106" cm="1">
        <f t="array" ref="K346">K27*(1-K36)*(SUMPRODUCT(K280:K308/(1+K45)^($A280:$A308-2031))+K308*(1+K273)/(K45-K273)/(1+K45)^($A308-2031))</f>
        <v>676.10837401190588</v>
      </c>
      <c r="L346" s="106" cm="1">
        <f t="array" ref="L346">L27*(1-L36)*(SUMPRODUCT(L280:L308/(1+L45)^($A280:$A308-2031))+L308*(1+L273)/(L45-L273)/(1+L45)^($A308-2031))</f>
        <v>676.10837401190588</v>
      </c>
      <c r="M346" s="106" cm="1">
        <f t="array" ref="M346">M27*(1-M36)*(SUMPRODUCT(M280:M308/(1+M45)^($A280:$A308-2031))+M308*(1+M273)/(M45-M273)/(1+M45)^($A308-2031))</f>
        <v>628.25475189621545</v>
      </c>
      <c r="N346" s="106" cm="1">
        <f t="array" ref="N346">N27*(1-N36)*(SUMPRODUCT(N280:N308/(1+N45)^($A280:$A308-2031))+N308*(1+N273)/(N45-N273)/(1+N45)^($A308-2031))</f>
        <v>676.10837401190588</v>
      </c>
      <c r="O346" s="106" cm="1">
        <f t="array" ref="O346">O27*(1-O36)*(SUMPRODUCT(O280:O308/(1+O45)^($A280:$A308-2031))+O308*(1+O273)/(O45-O273)/(1+O45)^($A308-2031))</f>
        <v>676.10837401190588</v>
      </c>
      <c r="P346" s="106" cm="1">
        <f t="array" ref="P346">P27*(1-P36)*(SUMPRODUCT(P280:P308/(1+P45)^($A280:$A308-2031))+P308*(1+P273)/(P45-P273)/(1+P45)^($A308-2031))</f>
        <v>676.10837401190588</v>
      </c>
      <c r="Q346" s="106" cm="1">
        <f t="array" ref="Q346">Q27*(1-Q36)*(SUMPRODUCT(Q280:Q308/(1+Q45)^($A280:$A308-2031))+Q308*(1+Q273)/(Q45-Q273)/(1+Q45)^($A308-2031))</f>
        <v>676.10837401190588</v>
      </c>
      <c r="R346" s="106" cm="1">
        <f t="array" ref="R346">R27*(1-R36)*(SUMPRODUCT(R280:R308/(1+R45)^($A280:$A308-2031))+R308*(1+R273)/(R45-R273)/(1+R45)^($A308-2031))</f>
        <v>676.10837401190588</v>
      </c>
      <c r="S346" s="106" cm="1">
        <f t="array" ref="S346">S27*(1-S36)*(SUMPRODUCT(S280:S308/(1+S45)^($A280:$A308-2031))+S308*(1+S273)/(S45-S273)/(1+S45)^($A308-2031))</f>
        <v>676.10837401190588</v>
      </c>
      <c r="T346" s="106" cm="1">
        <f t="array" ref="T346">T27*(1-T36)*(SUMPRODUCT(T280:T308/(1+T45)^($A280:$A308-2031))+T308*(1+T273)/(T45-T273)/(1+T45)^($A308-2031))</f>
        <v>676.10837401190588</v>
      </c>
      <c r="U346" s="106" cm="1">
        <f t="array" ref="U346">U27*(1-U36)*(SUMPRODUCT(U280:U308/(1+U45)^($A280:$A308-2031))+U308*(1+U273)/(U45-U273)/(1+U45)^($A308-2031))</f>
        <v>676.10837401190588</v>
      </c>
      <c r="V346" s="106" cm="1">
        <f t="array" ref="V346">V27*(1-V36)*(SUMPRODUCT(V280:V308/(1+V45)^($A280:$A308-2031))+V308*(1+V273)/(V45-V273)/(1+V45)^($A308-2031))</f>
        <v>676.10837401190588</v>
      </c>
      <c r="W346" s="106" cm="1">
        <f t="array" ref="W346">W27*(1-W36)*(SUMPRODUCT(W280:W308/(1+W45)^($A280:$A308-2031))+W308*(1+W273)/(W45-W273)/(1+W45)^($A308-2031))</f>
        <v>676.10837401190588</v>
      </c>
    </row>
    <row r="347" spans="1:23" x14ac:dyDescent="0.3">
      <c r="A347" t="s">
        <v>869</v>
      </c>
      <c r="B347" s="106" cm="1">
        <f t="array" ref="B347">B27*(1-B36)*(SUMPRODUCT(B311:B344/(1+B45)^($A311:$A344-2026))+B344*(1+B273)/(B45-B273)/(1+B45)^($A344-2026))</f>
        <v>4.0355525672232124</v>
      </c>
      <c r="C347" s="106" cm="1">
        <f t="array" ref="C347">C27*(1-C36)*(SUMPRODUCT(C311:C344/(1+C45)^($A311:$A344-2026))+C344*(1+C273)/(C45-C273)/(1+C45)^($A344-2026))</f>
        <v>3.7577437802870954</v>
      </c>
      <c r="D347" s="106" cm="1">
        <f t="array" ref="D347">D27*(1-D36)*(SUMPRODUCT(D311:D344/(1+D45)^($A311:$A344-2026))+D344*(1+D273)/(D45-D273)/(1+D45)^($A344-2026))</f>
        <v>4.5436725929799842</v>
      </c>
      <c r="E347" s="106"/>
      <c r="F347" s="106"/>
      <c r="G347" s="106"/>
      <c r="H347" s="106" cm="1">
        <f t="array" ref="H347">H27*(1-H36)*(SUMPRODUCT(H311:H344/(1+H45)^($A311:$A344-2026))+H344*(1+H273)/(H45-H273)/(1+H45)^($A344-2026))</f>
        <v>3.7577437802870954</v>
      </c>
      <c r="I347" s="106" cm="1">
        <f t="array" ref="I347">I27*(1-I36)*(SUMPRODUCT(I311:I344/(1+I45)^($A311:$A344-2026))+I344*(1+I273)/(I45-I273)/(1+I45)^($A344-2026))</f>
        <v>0</v>
      </c>
      <c r="J347" s="106" cm="1">
        <f t="array" ref="J347">J27*(1-J36)*(SUMPRODUCT(J311:J344/(1+J45)^($A311:$A344-2026))+J344*(1+J273)/(J45-J273)/(1+J45)^($A344-2026))</f>
        <v>4.2169201654163544</v>
      </c>
      <c r="K347" s="106" cm="1">
        <f t="array" ref="K347">K27*(1-K36)*(SUMPRODUCT(K311:K344/(1+K45)^($A311:$A344-2026))+K344*(1+K273)/(K45-K273)/(1+K45)^($A344-2026))</f>
        <v>3.7577437802870954</v>
      </c>
      <c r="L347" s="106" cm="1">
        <f t="array" ref="L347">L27*(1-L36)*(SUMPRODUCT(L311:L344/(1+L45)^($A311:$A344-2026))+L344*(1+L273)/(L45-L273)/(1+L45)^($A344-2026))</f>
        <v>3.7577437802870954</v>
      </c>
      <c r="M347" s="106" cm="1">
        <f t="array" ref="M347">M27*(1-M36)*(SUMPRODUCT(M311:M344/(1+M45)^($A311:$A344-2026))+M344*(1+M273)/(M45-M273)/(1+M45)^($A344-2026))</f>
        <v>3.3656660269399965</v>
      </c>
      <c r="N347" s="106" cm="1">
        <f t="array" ref="N347">N27*(1-N36)*(SUMPRODUCT(N311:N344/(1+N45)^($A311:$A344-2026))+N344*(1+N273)/(N45-N273)/(1+N45)^($A344-2026))</f>
        <v>3.7577437802870954</v>
      </c>
      <c r="O347" s="106" cm="1">
        <f t="array" ref="O347">O27*(1-O36)*(SUMPRODUCT(O311:O344/(1+O45)^($A311:$A344-2026))+O344*(1+O273)/(O45-O273)/(1+O45)^($A344-2026))</f>
        <v>3.7577437802870954</v>
      </c>
      <c r="P347" s="106" cm="1">
        <f t="array" ref="P347">P27*(1-P36)*(SUMPRODUCT(P311:P344/(1+P45)^($A311:$A344-2026))+P344*(1+P273)/(P45-P273)/(1+P45)^($A344-2026))</f>
        <v>3.7577437802870954</v>
      </c>
      <c r="Q347" s="106" cm="1">
        <f t="array" ref="Q347">Q27*(1-Q36)*(SUMPRODUCT(Q311:Q344/(1+Q45)^($A311:$A344-2026))+Q344*(1+Q273)/(Q45-Q273)/(1+Q45)^($A344-2026))</f>
        <v>3.7577437802870954</v>
      </c>
      <c r="R347" s="106" cm="1">
        <f t="array" ref="R347">R27*(1-R36)*(SUMPRODUCT(R311:R344/(1+R45)^($A311:$A344-2026))+R344*(1+R273)/(R45-R273)/(1+R45)^($A344-2026))</f>
        <v>3.7577437802870954</v>
      </c>
      <c r="S347" s="106" cm="1">
        <f t="array" ref="S347">S27*(1-S36)*(SUMPRODUCT(S311:S344/(1+S45)^($A311:$A344-2026))+S344*(1+S273)/(S45-S273)/(1+S45)^($A344-2026))</f>
        <v>3.7577437802870954</v>
      </c>
      <c r="T347" s="106" cm="1">
        <f t="array" ref="T347">T27*(1-T36)*(SUMPRODUCT(T311:T344/(1+T45)^($A311:$A344-2026))+T344*(1+T273)/(T45-T273)/(1+T45)^($A344-2026))</f>
        <v>3.7577437802870954</v>
      </c>
      <c r="U347" s="106" cm="1">
        <f t="array" ref="U347">U27*(1-U36)*(SUMPRODUCT(U311:U344/(1+U45)^($A311:$A344-2026))+U344*(1+U273)/(U45-U273)/(1+U45)^($A344-2026))</f>
        <v>3.7577437802870954</v>
      </c>
      <c r="V347" s="106" cm="1">
        <f t="array" ref="V347">V27*(1-V36)*(SUMPRODUCT(V311:V344/(1+V45)^($A311:$A344-2026))+V344*(1+V273)/(V45-V273)/(1+V45)^($A344-2026))</f>
        <v>3.7577437802870954</v>
      </c>
      <c r="W347" s="106" cm="1">
        <f t="array" ref="W347">W27*(1-W36)*(SUMPRODUCT(W311:W344/(1+W45)^($A311:$A344-2026))+W344*(1+W273)/(W45-W273)/(1+W45)^($A344-2026))</f>
        <v>3.7577437802870954</v>
      </c>
    </row>
  </sheetData>
  <pageMargins left="0.4" right="0.4" top="0.7" bottom="0.6" header="0.5" footer="0.5"/>
  <pageSetup paperSize="9" scale="38" fitToHeight="0" orientation="landscape" r:id="rId1"/>
  <headerFooter>
    <oddHeader>&amp;R&amp;A&amp;LMCM — Định giá DCF + tiền + dự án</oddHeader>
    <oddFooter>&amp;RTrang &amp;P / &amp;N&amp;LFairline Research — bản 15/10/2026</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597"/>
    <pageSetUpPr fitToPage="1"/>
  </sheetPr>
  <dimension ref="A1:G66"/>
  <sheetViews>
    <sheetView showGridLines="0" zoomScale="90" workbookViewId="0">
      <selection activeCell="A9" sqref="A9"/>
    </sheetView>
  </sheetViews>
  <sheetFormatPr defaultRowHeight="14.4" x14ac:dyDescent="0.3"/>
  <cols>
    <col min="1" max="1" width="64" customWidth="1"/>
    <col min="2" max="6" width="14" customWidth="1"/>
    <col min="7" max="7" width="60" customWidth="1"/>
  </cols>
  <sheetData>
    <row r="1" spans="1:7" ht="18" x14ac:dyDescent="0.3">
      <c r="A1" s="1" t="s">
        <v>527</v>
      </c>
    </row>
    <row r="2" spans="1:7" x14ac:dyDescent="0.3">
      <c r="A2" s="17" t="s">
        <v>834</v>
      </c>
    </row>
    <row r="4" spans="1:7" x14ac:dyDescent="0.3">
      <c r="A4" s="11" t="s">
        <v>836</v>
      </c>
      <c r="B4" s="12"/>
      <c r="C4" s="12"/>
      <c r="D4" s="12"/>
      <c r="E4" s="12"/>
      <c r="F4" s="12"/>
      <c r="G4" s="12"/>
    </row>
    <row r="5" spans="1:7" x14ac:dyDescent="0.3">
      <c r="A5" s="51" t="s">
        <v>528</v>
      </c>
      <c r="B5" s="74">
        <f>'03_Định giá'!$C$9-0.02</f>
        <v>0.25</v>
      </c>
      <c r="C5" s="74">
        <f>'03_Định giá'!$C$9-0.01</f>
        <v>0.26</v>
      </c>
      <c r="D5" s="74">
        <f>'03_Định giá'!$C$9+0</f>
        <v>0.27</v>
      </c>
      <c r="E5" s="74">
        <f>'03_Định giá'!$C$9+0.01</f>
        <v>0.28000000000000003</v>
      </c>
      <c r="F5" s="74">
        <f>'03_Định giá'!$C$9+0.02</f>
        <v>0.29000000000000004</v>
      </c>
    </row>
    <row r="6" spans="1:7" x14ac:dyDescent="0.3">
      <c r="A6" s="75">
        <f>'03_Định giá'!$C$6-300</f>
        <v>2150</v>
      </c>
      <c r="B6" s="15">
        <f>MAX(0,(('03_Định giá'!$C$40*'03_Định giá'!$C$7+('03_Định giá'!$C$53-(B$5))*($A6)-'03_Định giá'!$C$42)*(1-'03_Định giá'!$C$10)*(1-'03_Định giá'!$C$36)*'03_Định giá'!$C$12+('03_Định giá'!$C$214-'03_Định giá'!$C$216)*(1-'02_Giả định'!$B$26)+'03_Định giá'!$C$207)*1000/'01_Số liệu gốc'!$B$8)</f>
        <v>28719.767312813859</v>
      </c>
      <c r="C6" s="15">
        <f>MAX(0,(('03_Định giá'!$C$40*'03_Định giá'!$C$7+('03_Định giá'!$C$53-(C$5))*($A6)-'03_Định giá'!$C$42)*(1-'03_Định giá'!$C$10)*(1-'03_Định giá'!$C$36)*'03_Định giá'!$C$12+('03_Định giá'!$C$214-'03_Định giá'!$C$216)*(1-'02_Giả định'!$B$26)+'03_Định giá'!$C$207)*1000/'01_Số liệu gốc'!$B$8)</f>
        <v>26990.932767359311</v>
      </c>
      <c r="D6" s="15">
        <f>MAX(0,(('03_Định giá'!$C$40*'03_Định giá'!$C$7+('03_Định giá'!$C$53-(D$5))*($A6)-'03_Định giá'!$C$42)*(1-'03_Định giá'!$C$10)*(1-'03_Định giá'!$C$36)*'03_Định giá'!$C$12+('03_Định giá'!$C$214-'03_Định giá'!$C$216)*(1-'02_Giả định'!$B$26)+'03_Định giá'!$C$207)*1000/'01_Số liệu gốc'!$B$8)</f>
        <v>25262.098221904769</v>
      </c>
      <c r="E6" s="15">
        <f>MAX(0,(('03_Định giá'!$C$40*'03_Định giá'!$C$7+('03_Định giá'!$C$53-(E$5))*($A6)-'03_Định giá'!$C$42)*(1-'03_Định giá'!$C$10)*(1-'03_Định giá'!$C$36)*'03_Định giá'!$C$12+('03_Định giá'!$C$214-'03_Định giá'!$C$216)*(1-'02_Giả định'!$B$26)+'03_Định giá'!$C$207)*1000/'01_Số liệu gốc'!$B$8)</f>
        <v>23533.263676450217</v>
      </c>
      <c r="F6" s="15">
        <f>MAX(0,(('03_Định giá'!$C$40*'03_Định giá'!$C$7+('03_Định giá'!$C$53-(F$5))*($A6)-'03_Định giá'!$C$42)*(1-'03_Định giá'!$C$10)*(1-'03_Định giá'!$C$36)*'03_Định giá'!$C$12+('03_Định giá'!$C$214-'03_Định giá'!$C$216)*(1-'02_Giả định'!$B$26)+'03_Định giá'!$C$207)*1000/'01_Số liệu gốc'!$B$8)</f>
        <v>21804.429130995668</v>
      </c>
    </row>
    <row r="7" spans="1:7" x14ac:dyDescent="0.3">
      <c r="A7" s="75">
        <f>'03_Định giá'!$C$6-150</f>
        <v>2300</v>
      </c>
      <c r="B7" s="15">
        <f>MAX(0,(('03_Định giá'!$C$40*'03_Định giá'!$C$7+('03_Định giá'!$C$53-(B$5))*($A7)-'03_Định giá'!$C$42)*(1-'03_Định giá'!$C$10)*(1-'03_Định giá'!$C$36)*'03_Định giá'!$C$12+('03_Định giá'!$C$214-'03_Định giá'!$C$216)*(1-'02_Giả định'!$B$26)+'03_Định giá'!$C$207)*1000/'01_Số liệu gốc'!$B$8)</f>
        <v>29895.333596424352</v>
      </c>
      <c r="C7" s="15">
        <f>MAX(0,(('03_Định giá'!$C$40*'03_Định giá'!$C$7+('03_Định giá'!$C$53-(C$5))*($A7)-'03_Định giá'!$C$42)*(1-'03_Định giá'!$C$10)*(1-'03_Định giá'!$C$36)*'03_Định giá'!$C$12+('03_Định giá'!$C$214-'03_Định giá'!$C$216)*(1-'02_Giả định'!$B$26)+'03_Định giá'!$C$207)*1000/'01_Số liệu gốc'!$B$8)</f>
        <v>28045.882687333436</v>
      </c>
      <c r="D7" s="15">
        <f>MAX(0,(('03_Định giá'!$C$40*'03_Định giá'!$C$7+('03_Định giá'!$C$53-(D$5))*($A7)-'03_Định giá'!$C$42)*(1-'03_Định giá'!$C$10)*(1-'03_Định giá'!$C$36)*'03_Định giá'!$C$12+('03_Định giá'!$C$214-'03_Định giá'!$C$216)*(1-'02_Giả định'!$B$26)+'03_Định giá'!$C$207)*1000/'01_Số liệu gốc'!$B$8)</f>
        <v>26196.431778242528</v>
      </c>
      <c r="E7" s="15">
        <f>MAX(0,(('03_Định giá'!$C$40*'03_Định giá'!$C$7+('03_Định giá'!$C$53-(E$5))*($A7)-'03_Định giá'!$C$42)*(1-'03_Định giá'!$C$10)*(1-'03_Định giá'!$C$36)*'03_Định giá'!$C$12+('03_Định giá'!$C$214-'03_Định giá'!$C$216)*(1-'02_Giả định'!$B$26)+'03_Định giá'!$C$207)*1000/'01_Số liệu gốc'!$B$8)</f>
        <v>24346.980869151615</v>
      </c>
      <c r="F7" s="15">
        <f>MAX(0,(('03_Định giá'!$C$40*'03_Định giá'!$C$7+('03_Định giá'!$C$53-(F$5))*($A7)-'03_Định giá'!$C$42)*(1-'03_Định giá'!$C$10)*(1-'03_Định giá'!$C$36)*'03_Định giá'!$C$12+('03_Định giá'!$C$214-'03_Định giá'!$C$216)*(1-'02_Giả định'!$B$26)+'03_Định giá'!$C$207)*1000/'01_Số liệu gốc'!$B$8)</f>
        <v>22497.529960060707</v>
      </c>
    </row>
    <row r="8" spans="1:7" x14ac:dyDescent="0.3">
      <c r="A8" s="75">
        <f>'03_Định giá'!$C$6+0</f>
        <v>2450</v>
      </c>
      <c r="B8" s="15">
        <f>MAX(0,(('03_Định giá'!$C$40*'03_Định giá'!$C$7+('03_Định giá'!$C$53-(B$5))*($A8)-'03_Định giá'!$C$42)*(1-'03_Định giá'!$C$10)*(1-'03_Định giá'!$C$36)*'03_Định giá'!$C$12+('03_Định giá'!$C$214-'03_Định giá'!$C$216)*(1-'02_Giả định'!$B$26)+'03_Định giá'!$C$207)*1000/'01_Số liệu gốc'!$B$8)</f>
        <v>31070.899880034842</v>
      </c>
      <c r="C8" s="15">
        <f>MAX(0,(('03_Định giá'!$C$40*'03_Định giá'!$C$7+('03_Định giá'!$C$53-(C$5))*($A8)-'03_Định giá'!$C$42)*(1-'03_Định giá'!$C$10)*(1-'03_Định giá'!$C$36)*'03_Định giá'!$C$12+('03_Định giá'!$C$214-'03_Định giá'!$C$216)*(1-'02_Giả định'!$B$26)+'03_Định giá'!$C$207)*1000/'01_Số liệu gốc'!$B$8)</f>
        <v>29100.83260730757</v>
      </c>
      <c r="D8" s="42">
        <f>MAX(0,(('03_Định giá'!$C$40*'03_Định giá'!$C$7+('03_Định giá'!$C$53-(D$5))*($A8)-'03_Định giá'!$C$42)*(1-'03_Định giá'!$C$10)*(1-'03_Định giá'!$C$36)*'03_Định giá'!$C$12+('03_Định giá'!$C$214-'03_Định giá'!$C$216)*(1-'02_Giả định'!$B$26)+'03_Định giá'!$C$207)*1000/'01_Số liệu gốc'!$B$8)</f>
        <v>27130.765334580283</v>
      </c>
      <c r="E8" s="15">
        <f>MAX(0,(('03_Định giá'!$C$40*'03_Định giá'!$C$7+('03_Định giá'!$C$53-(E$5))*($A8)-'03_Định giá'!$C$42)*(1-'03_Định giá'!$C$10)*(1-'03_Định giá'!$C$36)*'03_Định giá'!$C$12+('03_Định giá'!$C$214-'03_Định giá'!$C$216)*(1-'02_Giả định'!$B$26)+'03_Định giá'!$C$207)*1000/'01_Số liệu gốc'!$B$8)</f>
        <v>25160.698061853011</v>
      </c>
      <c r="F8" s="15">
        <f>MAX(0,(('03_Định giá'!$C$40*'03_Định giá'!$C$7+('03_Định giá'!$C$53-(F$5))*($A8)-'03_Định giá'!$C$42)*(1-'03_Định giá'!$C$10)*(1-'03_Định giá'!$C$36)*'03_Định giá'!$C$12+('03_Định giá'!$C$214-'03_Định giá'!$C$216)*(1-'02_Giả định'!$B$26)+'03_Định giá'!$C$207)*1000/'01_Số liệu gốc'!$B$8)</f>
        <v>23190.630789125742</v>
      </c>
    </row>
    <row r="9" spans="1:7" x14ac:dyDescent="0.3">
      <c r="A9" s="75">
        <f>'03_Định giá'!$C$6+150</f>
        <v>2600</v>
      </c>
      <c r="B9" s="15">
        <f>MAX(0,(('03_Định giá'!$C$40*'03_Định giá'!$C$7+('03_Định giá'!$C$53-(B$5))*($A9)-'03_Định giá'!$C$42)*(1-'03_Định giá'!$C$10)*(1-'03_Định giá'!$C$36)*'03_Định giá'!$C$12+('03_Định giá'!$C$214-'03_Định giá'!$C$216)*(1-'02_Giả định'!$B$26)+'03_Định giá'!$C$207)*1000/'01_Số liệu gốc'!$B$8)</f>
        <v>32246.466163645324</v>
      </c>
      <c r="C9" s="15">
        <f>MAX(0,(('03_Định giá'!$C$40*'03_Định giá'!$C$7+('03_Định giá'!$C$53-(C$5))*($A9)-'03_Định giá'!$C$42)*(1-'03_Định giá'!$C$10)*(1-'03_Định giá'!$C$36)*'03_Định giá'!$C$12+('03_Định giá'!$C$214-'03_Định giá'!$C$216)*(1-'02_Giả định'!$B$26)+'03_Định giá'!$C$207)*1000/'01_Số liệu gốc'!$B$8)</f>
        <v>30155.782527281692</v>
      </c>
      <c r="D9" s="15">
        <f>MAX(0,(('03_Định giá'!$C$40*'03_Định giá'!$C$7+('03_Định giá'!$C$53-(D$5))*($A9)-'03_Định giá'!$C$42)*(1-'03_Định giá'!$C$10)*(1-'03_Định giá'!$C$36)*'03_Định giá'!$C$12+('03_Định giá'!$C$214-'03_Định giá'!$C$216)*(1-'02_Giả định'!$B$26)+'03_Định giá'!$C$207)*1000/'01_Số liệu gốc'!$B$8)</f>
        <v>28065.098890918052</v>
      </c>
      <c r="E9" s="15">
        <f>MAX(0,(('03_Định giá'!$C$40*'03_Định giá'!$C$7+('03_Định giá'!$C$53-(E$5))*($A9)-'03_Định giá'!$C$42)*(1-'03_Định giá'!$C$10)*(1-'03_Định giá'!$C$36)*'03_Định giá'!$C$12+('03_Định giá'!$C$214-'03_Định giá'!$C$216)*(1-'02_Giả định'!$B$26)+'03_Định giá'!$C$207)*1000/'01_Số liệu gốc'!$B$8)</f>
        <v>25974.415254554409</v>
      </c>
      <c r="F9" s="15">
        <f>MAX(0,(('03_Định giá'!$C$40*'03_Định giá'!$C$7+('03_Định giá'!$C$53-(F$5))*($A9)-'03_Định giá'!$C$42)*(1-'03_Định giá'!$C$10)*(1-'03_Định giá'!$C$36)*'03_Định giá'!$C$12+('03_Định giá'!$C$214-'03_Định giá'!$C$216)*(1-'02_Giả định'!$B$26)+'03_Định giá'!$C$207)*1000/'01_Số liệu gốc'!$B$8)</f>
        <v>23883.731618190777</v>
      </c>
    </row>
    <row r="10" spans="1:7" x14ac:dyDescent="0.3">
      <c r="A10" s="75">
        <f>'03_Định giá'!$C$6+300</f>
        <v>2750</v>
      </c>
      <c r="B10" s="15">
        <f>MAX(0,(('03_Định giá'!$C$40*'03_Định giá'!$C$7+('03_Định giá'!$C$53-(B$5))*($A10)-'03_Định giá'!$C$42)*(1-'03_Định giá'!$C$10)*(1-'03_Định giá'!$C$36)*'03_Định giá'!$C$12+('03_Định giá'!$C$214-'03_Định giá'!$C$216)*(1-'02_Giả định'!$B$26)+'03_Định giá'!$C$207)*1000/'01_Số liệu gốc'!$B$8)</f>
        <v>33422.03244725582</v>
      </c>
      <c r="C10" s="15">
        <f>MAX(0,(('03_Định giá'!$C$40*'03_Định giá'!$C$7+('03_Định giá'!$C$53-(C$5))*($A10)-'03_Định giá'!$C$42)*(1-'03_Định giá'!$C$10)*(1-'03_Định giá'!$C$36)*'03_Định giá'!$C$12+('03_Định giá'!$C$214-'03_Định giá'!$C$216)*(1-'02_Giả định'!$B$26)+'03_Định giá'!$C$207)*1000/'01_Số liệu gốc'!$B$8)</f>
        <v>31210.732447255814</v>
      </c>
      <c r="D10" s="15">
        <f>MAX(0,(('03_Định giá'!$C$40*'03_Định giá'!$C$7+('03_Định giá'!$C$53-(D$5))*($A10)-'03_Định giá'!$C$42)*(1-'03_Định giá'!$C$10)*(1-'03_Định giá'!$C$36)*'03_Định giá'!$C$12+('03_Định giá'!$C$214-'03_Định giá'!$C$216)*(1-'02_Giả định'!$B$26)+'03_Định giá'!$C$207)*1000/'01_Số liệu gốc'!$B$8)</f>
        <v>28999.432447255811</v>
      </c>
      <c r="E10" s="15">
        <f>MAX(0,(('03_Định giá'!$C$40*'03_Định giá'!$C$7+('03_Định giá'!$C$53-(E$5))*($A10)-'03_Định giá'!$C$42)*(1-'03_Định giá'!$C$10)*(1-'03_Định giá'!$C$36)*'03_Định giá'!$C$12+('03_Định giá'!$C$214-'03_Định giá'!$C$216)*(1-'02_Giả định'!$B$26)+'03_Định giá'!$C$207)*1000/'01_Số liệu gốc'!$B$8)</f>
        <v>26788.132447255812</v>
      </c>
      <c r="F10" s="15">
        <f>MAX(0,(('03_Định giá'!$C$40*'03_Định giá'!$C$7+('03_Định giá'!$C$53-(F$5))*($A10)-'03_Định giá'!$C$42)*(1-'03_Định giá'!$C$10)*(1-'03_Định giá'!$C$36)*'03_Định giá'!$C$12+('03_Định giá'!$C$214-'03_Định giá'!$C$216)*(1-'02_Giả định'!$B$26)+'03_Định giá'!$C$207)*1000/'01_Số liệu gốc'!$B$8)</f>
        <v>24576.832447255809</v>
      </c>
    </row>
    <row r="11" spans="1:7" ht="27.9" customHeight="1" x14ac:dyDescent="0.3">
      <c r="A11" s="116" t="s">
        <v>529</v>
      </c>
      <c r="B11" s="115"/>
      <c r="C11" s="115"/>
      <c r="D11" s="115"/>
      <c r="E11" s="115"/>
      <c r="F11" s="115"/>
      <c r="G11" s="115"/>
    </row>
    <row r="13" spans="1:7" x14ac:dyDescent="0.3">
      <c r="A13" s="11" t="s">
        <v>530</v>
      </c>
      <c r="B13" s="12"/>
      <c r="C13" s="12"/>
      <c r="D13" s="12"/>
      <c r="E13" s="12"/>
      <c r="F13" s="12"/>
      <c r="G13" s="12"/>
    </row>
    <row r="14" spans="1:7" x14ac:dyDescent="0.3">
      <c r="A14" s="51" t="s">
        <v>528</v>
      </c>
      <c r="B14" s="76">
        <f>'03_Định giá'!$C$22-1000</f>
        <v>9500</v>
      </c>
      <c r="C14" s="76">
        <f>'03_Định giá'!$C$22-500</f>
        <v>10000</v>
      </c>
      <c r="D14" s="76">
        <f>'03_Định giá'!$C$22+0</f>
        <v>10500</v>
      </c>
      <c r="E14" s="76">
        <f>'03_Định giá'!$C$22+500</f>
        <v>11000</v>
      </c>
      <c r="F14" s="76">
        <f>'03_Định giá'!$C$22+1000</f>
        <v>11500</v>
      </c>
    </row>
    <row r="15" spans="1:7" x14ac:dyDescent="0.3">
      <c r="A15" s="76">
        <f>'03_Định giá'!$C$21-2000</f>
        <v>12500</v>
      </c>
      <c r="B15" s="15">
        <f>('03_Định giá'!$C$207+'03_Định giá'!$C$19*((($A15)-'03_Định giá'!$C$21)*(1+'03_Định giá'!$C$23)-((B$14)-'03_Định giá'!$C$22))/1000*'03_Định giá'!$C$209)*1000/'01_Số liệu gốc'!$B$8</f>
        <v>-2678.2142887947389</v>
      </c>
      <c r="C15" s="15">
        <f>('03_Định giá'!$C$207+'03_Định giá'!$C$19*((($A15)-'03_Định giá'!$C$21)*(1+'03_Định giá'!$C$23)-((C$14)-'03_Định giá'!$C$22))/1000*'03_Định giá'!$C$209)*1000/'01_Số liệu gốc'!$B$8</f>
        <v>-3265.2973563611567</v>
      </c>
      <c r="D15" s="15">
        <f>('03_Định giá'!$C$207+'03_Định giá'!$C$19*((($A15)-'03_Định giá'!$C$21)*(1+'03_Định giá'!$C$23)-((D$14)-'03_Định giá'!$C$22))/1000*'03_Định giá'!$C$209)*1000/'01_Số liệu gốc'!$B$8</f>
        <v>-3852.3804239275755</v>
      </c>
      <c r="E15" s="15">
        <f>('03_Định giá'!$C$207+'03_Định giá'!$C$19*((($A15)-'03_Định giá'!$C$21)*(1+'03_Định giá'!$C$23)-((E$14)-'03_Định giá'!$C$22))/1000*'03_Định giá'!$C$209)*1000/'01_Số liệu gốc'!$B$8</f>
        <v>-4439.4634914939934</v>
      </c>
      <c r="F15" s="15">
        <f>('03_Định giá'!$C$207+'03_Định giá'!$C$19*((($A15)-'03_Định giá'!$C$21)*(1+'03_Định giá'!$C$23)-((F$14)-'03_Định giá'!$C$22))/1000*'03_Định giá'!$C$209)*1000/'01_Số liệu gốc'!$B$8</f>
        <v>-5026.5465590604117</v>
      </c>
    </row>
    <row r="16" spans="1:7" x14ac:dyDescent="0.3">
      <c r="A16" s="76">
        <f>'03_Định giá'!$C$21-1000</f>
        <v>13500</v>
      </c>
      <c r="B16" s="15">
        <f>('03_Định giá'!$C$207+'03_Định giá'!$C$19*((($A16)-'03_Định giá'!$C$21)*(1+'03_Định giá'!$C$23)-((B$14)-'03_Định giá'!$C$22))/1000*'03_Định giá'!$C$209)*1000/'01_Số liệu gốc'!$B$8</f>
        <v>-1445.3398469052609</v>
      </c>
      <c r="C16" s="15">
        <f>('03_Định giá'!$C$207+'03_Định giá'!$C$19*((($A16)-'03_Định giá'!$C$21)*(1+'03_Định giá'!$C$23)-((C$14)-'03_Định giá'!$C$22))/1000*'03_Định giá'!$C$209)*1000/'01_Số liệu gốc'!$B$8</f>
        <v>-2032.422914471679</v>
      </c>
      <c r="D16" s="15">
        <f>('03_Định giá'!$C$207+'03_Định giá'!$C$19*((($A16)-'03_Định giá'!$C$21)*(1+'03_Định giá'!$C$23)-((D$14)-'03_Định giá'!$C$22))/1000*'03_Định giá'!$C$209)*1000/'01_Số liệu gốc'!$B$8</f>
        <v>-2619.5059820380966</v>
      </c>
      <c r="E16" s="15">
        <f>('03_Định giá'!$C$207+'03_Định giá'!$C$19*((($A16)-'03_Định giá'!$C$21)*(1+'03_Định giá'!$C$23)-((E$14)-'03_Định giá'!$C$22))/1000*'03_Định giá'!$C$209)*1000/'01_Số liệu gốc'!$B$8</f>
        <v>-3206.5890496045154</v>
      </c>
      <c r="F16" s="15">
        <f>('03_Định giá'!$C$207+'03_Định giá'!$C$19*((($A16)-'03_Định giá'!$C$21)*(1+'03_Định giá'!$C$23)-((F$14)-'03_Định giá'!$C$22))/1000*'03_Định giá'!$C$209)*1000/'01_Số liệu gốc'!$B$8</f>
        <v>-3793.6721171709332</v>
      </c>
    </row>
    <row r="17" spans="1:7" x14ac:dyDescent="0.3">
      <c r="A17" s="76">
        <f>'03_Định giá'!$C$21+0</f>
        <v>14500</v>
      </c>
      <c r="B17" s="15">
        <f>('03_Định giá'!$C$207+'03_Định giá'!$C$19*((($A17)-'03_Định giá'!$C$21)*(1+'03_Định giá'!$C$23)-((B$14)-'03_Định giá'!$C$22))/1000*'03_Định giá'!$C$209)*1000/'01_Số liệu gốc'!$B$8</f>
        <v>-212.46540501578266</v>
      </c>
      <c r="C17" s="15">
        <f>('03_Định giá'!$C$207+'03_Định giá'!$C$19*((($A17)-'03_Định giá'!$C$21)*(1+'03_Định giá'!$C$23)-((C$14)-'03_Định giá'!$C$22))/1000*'03_Định giá'!$C$209)*1000/'01_Số liệu gốc'!$B$8</f>
        <v>-799.54847258220082</v>
      </c>
      <c r="D17" s="42">
        <f>('03_Định giá'!$C$207+'03_Định giá'!$C$19*((($A17)-'03_Định giá'!$C$21)*(1+'03_Định giá'!$C$23)-((D$14)-'03_Định giá'!$C$22))/1000*'03_Định giá'!$C$209)*1000/'01_Số liệu gốc'!$B$8</f>
        <v>-1386.631540148619</v>
      </c>
      <c r="E17" s="15">
        <f>('03_Định giá'!$C$207+'03_Định giá'!$C$19*((($A17)-'03_Định giá'!$C$21)*(1+'03_Định giá'!$C$23)-((E$14)-'03_Định giá'!$C$22))/1000*'03_Định giá'!$C$209)*1000/'01_Số liệu gốc'!$B$8</f>
        <v>-1973.7146077150373</v>
      </c>
      <c r="F17" s="15">
        <f>('03_Định giá'!$C$207+'03_Định giá'!$C$19*((($A17)-'03_Định giá'!$C$21)*(1+'03_Định giá'!$C$23)-((F$14)-'03_Định giá'!$C$22))/1000*'03_Định giá'!$C$209)*1000/'01_Số liệu gốc'!$B$8</f>
        <v>-2560.7976752814552</v>
      </c>
    </row>
    <row r="18" spans="1:7" x14ac:dyDescent="0.3">
      <c r="A18" s="76">
        <f>'03_Định giá'!$C$21+1000</f>
        <v>15500</v>
      </c>
      <c r="B18" s="15">
        <f>('03_Định giá'!$C$207+'03_Định giá'!$C$19*((($A18)-'03_Định giá'!$C$21)*(1+'03_Định giá'!$C$23)-((B$14)-'03_Định giá'!$C$22))/1000*'03_Định giá'!$C$209)*1000/'01_Số liệu gốc'!$B$8</f>
        <v>1020.4090368736951</v>
      </c>
      <c r="C18" s="15">
        <f>('03_Định giá'!$C$207+'03_Định giá'!$C$19*((($A18)-'03_Định giá'!$C$21)*(1+'03_Định giá'!$C$23)-((C$14)-'03_Định giá'!$C$22))/1000*'03_Định giá'!$C$209)*1000/'01_Số liệu gốc'!$B$8</f>
        <v>433.32596930727721</v>
      </c>
      <c r="D18" s="15">
        <f>('03_Định giá'!$C$207+'03_Định giá'!$C$19*((($A18)-'03_Định giá'!$C$21)*(1+'03_Định giá'!$C$23)-((D$14)-'03_Định giá'!$C$22))/1000*'03_Định giá'!$C$209)*1000/'01_Số liệu gốc'!$B$8</f>
        <v>-153.75709825914095</v>
      </c>
      <c r="E18" s="15">
        <f>('03_Định giá'!$C$207+'03_Định giá'!$C$19*((($A18)-'03_Định giá'!$C$21)*(1+'03_Định giá'!$C$23)-((E$14)-'03_Định giá'!$C$22))/1000*'03_Định giá'!$C$209)*1000/'01_Số liệu gốc'!$B$8</f>
        <v>-740.8401658255591</v>
      </c>
      <c r="F18" s="15">
        <f>('03_Định giá'!$C$207+'03_Định giá'!$C$19*((($A18)-'03_Định giá'!$C$21)*(1+'03_Định giá'!$C$23)-((F$14)-'03_Định giá'!$C$22))/1000*'03_Định giá'!$C$209)*1000/'01_Số liệu gốc'!$B$8</f>
        <v>-1327.9232333919772</v>
      </c>
    </row>
    <row r="19" spans="1:7" x14ac:dyDescent="0.3">
      <c r="A19" s="76">
        <f>'03_Định giá'!$C$21+2000</f>
        <v>16500</v>
      </c>
      <c r="B19" s="15">
        <f>('03_Định giá'!$C$207+'03_Định giá'!$C$19*((($A19)-'03_Định giá'!$C$21)*(1+'03_Định giá'!$C$23)-((B$14)-'03_Định giá'!$C$22))/1000*'03_Định giá'!$C$209)*1000/'01_Số liệu gốc'!$B$8</f>
        <v>2253.2834787631737</v>
      </c>
      <c r="C19" s="15">
        <f>('03_Định giá'!$C$207+'03_Định giá'!$C$19*((($A19)-'03_Định giá'!$C$21)*(1+'03_Định giá'!$C$23)-((C$14)-'03_Định giá'!$C$22))/1000*'03_Định giá'!$C$209)*1000/'01_Số liệu gốc'!$B$8</f>
        <v>1666.2004111967549</v>
      </c>
      <c r="D19" s="15">
        <f>('03_Định giá'!$C$207+'03_Định giá'!$C$19*((($A19)-'03_Định giá'!$C$21)*(1+'03_Định giá'!$C$23)-((D$14)-'03_Định giá'!$C$22))/1000*'03_Định giá'!$C$209)*1000/'01_Số liệu gốc'!$B$8</f>
        <v>1079.1173436303372</v>
      </c>
      <c r="E19" s="15">
        <f>('03_Định giá'!$C$207+'03_Định giá'!$C$19*((($A19)-'03_Định giá'!$C$21)*(1+'03_Định giá'!$C$23)-((E$14)-'03_Định giá'!$C$22))/1000*'03_Định giá'!$C$209)*1000/'01_Số liệu gốc'!$B$8</f>
        <v>492.03427606391898</v>
      </c>
      <c r="F19" s="15">
        <f>('03_Định giá'!$C$207+'03_Định giá'!$C$19*((($A19)-'03_Định giá'!$C$21)*(1+'03_Định giá'!$C$23)-((F$14)-'03_Định giá'!$C$22))/1000*'03_Định giá'!$C$209)*1000/'01_Số liệu gốc'!$B$8</f>
        <v>-95.048791502499213</v>
      </c>
    </row>
    <row r="20" spans="1:7" x14ac:dyDescent="0.3">
      <c r="A20" s="116" t="s">
        <v>531</v>
      </c>
      <c r="B20" s="115"/>
      <c r="C20" s="115"/>
      <c r="D20" s="115"/>
      <c r="E20" s="115"/>
      <c r="F20" s="115"/>
      <c r="G20" s="115"/>
    </row>
    <row r="22" spans="1:7" x14ac:dyDescent="0.3">
      <c r="A22" s="11" t="s">
        <v>532</v>
      </c>
      <c r="B22" s="12"/>
      <c r="C22" s="12"/>
      <c r="D22" s="12"/>
      <c r="E22" s="12"/>
      <c r="F22" s="12"/>
      <c r="G22" s="12"/>
    </row>
    <row r="23" spans="1:7" x14ac:dyDescent="0.3">
      <c r="A23" s="51" t="s">
        <v>528</v>
      </c>
      <c r="B23" s="74">
        <f>'03_Định giá'!$C$44-0.02</f>
        <v>9.2239999999999989E-2</v>
      </c>
      <c r="C23" s="74">
        <f>'03_Định giá'!$C$44-0.01</f>
        <v>0.10224</v>
      </c>
      <c r="D23" s="74">
        <f>'03_Định giá'!$C$44+0</f>
        <v>0.11223999999999999</v>
      </c>
      <c r="E23" s="74">
        <f>'03_Định giá'!$C$44+0.01</f>
        <v>0.12223999999999999</v>
      </c>
      <c r="F23" s="74">
        <f>'03_Định giá'!$C$44+0.02</f>
        <v>0.13224</v>
      </c>
    </row>
    <row r="24" spans="1:7" x14ac:dyDescent="0.3">
      <c r="A24" s="74">
        <f>'03_Định giá'!$C$14-0.03</f>
        <v>8.5000000000000006E-2</v>
      </c>
      <c r="B24" s="15">
        <f>MAX(0,(($A24)*(1-'03_Định giá'!$C$36)-'03_Định giá'!$C$35)/((B$23)-'03_Định giá'!$C$35)*'01_Số liệu gốc'!$C$74)</f>
        <v>15764.582627366213</v>
      </c>
      <c r="C24" s="15">
        <f>MAX(0,(($A24)*(1-'03_Định giá'!$C$36)-'03_Định giá'!$C$35)/((C$23)-'03_Định giá'!$C$35)*'01_Số liệu gốc'!$C$74)</f>
        <v>13582.331433101785</v>
      </c>
      <c r="D24" s="15">
        <f>MAX(0,(($A24)*(1-'03_Định giá'!$C$36)-'03_Định giá'!$C$35)/((D$23)-'03_Định giá'!$C$35)*'01_Số liệu gốc'!$C$74)</f>
        <v>11930.783350282989</v>
      </c>
      <c r="E24" s="15">
        <f>MAX(0,(($A24)*(1-'03_Định giá'!$C$36)-'03_Định giá'!$C$35)/((E$23)-'03_Định giá'!$C$35)*'01_Số liệu gốc'!$C$74)</f>
        <v>10637.333290625251</v>
      </c>
      <c r="F24" s="15">
        <f>MAX(0,(($A24)*(1-'03_Định giá'!$C$36)-'03_Định giá'!$C$35)/((F$23)-'03_Định giá'!$C$35)*'01_Số liệu gốc'!$C$74)</f>
        <v>9596.9055431071301</v>
      </c>
    </row>
    <row r="25" spans="1:7" x14ac:dyDescent="0.3">
      <c r="A25" s="74">
        <f>'03_Định giá'!$C$14-0.015</f>
        <v>0.1</v>
      </c>
      <c r="B25" s="15">
        <f>MAX(0,(($A25)*(1-'03_Định giá'!$C$36)-'03_Định giá'!$C$35)/((B$23)-'03_Định giá'!$C$35)*'01_Số liệu gốc'!$C$74)</f>
        <v>20341.396938537047</v>
      </c>
      <c r="C25" s="15">
        <f>MAX(0,(($A25)*(1-'03_Định giá'!$C$36)-'03_Định giá'!$C$35)/((C$23)-'03_Định giá'!$C$35)*'01_Số liệu gốc'!$C$74)</f>
        <v>17525.588945937787</v>
      </c>
      <c r="D25" s="15">
        <f>MAX(0,(($A25)*(1-'03_Định giá'!$C$36)-'03_Định giá'!$C$35)/((D$23)-'03_Định giá'!$C$35)*'01_Số liệu gốc'!$C$74)</f>
        <v>15394.559161655468</v>
      </c>
      <c r="E25" s="15">
        <f>MAX(0,(($A25)*(1-'03_Định giá'!$C$36)-'03_Định giá'!$C$35)/((E$23)-'03_Định giá'!$C$35)*'01_Số liệu gốc'!$C$74)</f>
        <v>13725.591342742258</v>
      </c>
      <c r="F25" s="15">
        <f>MAX(0,(($A25)*(1-'03_Định giá'!$C$36)-'03_Định giá'!$C$35)/((F$23)-'03_Định giá'!$C$35)*'01_Số liệu gốc'!$C$74)</f>
        <v>12383.103926589845</v>
      </c>
    </row>
    <row r="26" spans="1:7" x14ac:dyDescent="0.3">
      <c r="A26" s="74">
        <f>'03_Định giá'!$C$14+0</f>
        <v>0.115</v>
      </c>
      <c r="B26" s="15">
        <f>MAX(0,(($A26)*(1-'03_Định giá'!$C$36)-'03_Định giá'!$C$35)/((B$23)-'03_Định giá'!$C$35)*'01_Số liệu gốc'!$C$74)</f>
        <v>24918.211249707878</v>
      </c>
      <c r="C26" s="15">
        <f>MAX(0,(($A26)*(1-'03_Định giá'!$C$36)-'03_Định giá'!$C$35)/((C$23)-'03_Định giá'!$C$35)*'01_Số liệu gốc'!$C$74)</f>
        <v>21468.846458773787</v>
      </c>
      <c r="D26" s="42">
        <f>MAX(0,(($A26)*(1-'03_Định giá'!$C$36)-'03_Định giá'!$C$35)/((D$23)-'03_Định giá'!$C$35)*'01_Số liệu gốc'!$C$74)</f>
        <v>18858.334973027948</v>
      </c>
      <c r="E26" s="15">
        <f>MAX(0,(($A26)*(1-'03_Định giá'!$C$36)-'03_Định giá'!$C$35)/((E$23)-'03_Định giá'!$C$35)*'01_Số liệu gốc'!$C$74)</f>
        <v>16813.849394859262</v>
      </c>
      <c r="F26" s="15">
        <f>MAX(0,(($A26)*(1-'03_Định giá'!$C$36)-'03_Định giá'!$C$35)/((F$23)-'03_Định giá'!$C$35)*'01_Số liệu gốc'!$C$74)</f>
        <v>15169.302310072559</v>
      </c>
    </row>
    <row r="27" spans="1:7" x14ac:dyDescent="0.3">
      <c r="A27" s="74">
        <f>'03_Định giá'!$C$14+0.015</f>
        <v>0.13</v>
      </c>
      <c r="B27" s="15">
        <f>MAX(0,(($A27)*(1-'03_Định giá'!$C$36)-'03_Định giá'!$C$35)/((B$23)-'03_Định giá'!$C$35)*'01_Số liệu gốc'!$C$74)</f>
        <v>29495.025560878716</v>
      </c>
      <c r="C27" s="15">
        <f>MAX(0,(($A27)*(1-'03_Định giá'!$C$36)-'03_Định giá'!$C$35)/((C$23)-'03_Định giá'!$C$35)*'01_Số liệu gốc'!$C$74)</f>
        <v>25412.103971609788</v>
      </c>
      <c r="D27" s="15">
        <f>MAX(0,(($A27)*(1-'03_Định giá'!$C$36)-'03_Định giá'!$C$35)/((D$23)-'03_Định giá'!$C$35)*'01_Số liệu gốc'!$C$74)</f>
        <v>22322.110784400429</v>
      </c>
      <c r="E27" s="15">
        <f>MAX(0,(($A27)*(1-'03_Định giá'!$C$36)-'03_Định giá'!$C$35)/((E$23)-'03_Định giá'!$C$35)*'01_Số liệu gốc'!$C$74)</f>
        <v>19902.107446976268</v>
      </c>
      <c r="F27" s="15">
        <f>MAX(0,(($A27)*(1-'03_Định giá'!$C$36)-'03_Định giá'!$C$35)/((F$23)-'03_Định giá'!$C$35)*'01_Số liệu gốc'!$C$74)</f>
        <v>17955.500693555274</v>
      </c>
    </row>
    <row r="28" spans="1:7" x14ac:dyDescent="0.3">
      <c r="A28" s="74">
        <f>'03_Định giá'!$C$14+0.03</f>
        <v>0.14500000000000002</v>
      </c>
      <c r="B28" s="15">
        <f>MAX(0,(($A28)*(1-'03_Định giá'!$C$36)-'03_Định giá'!$C$35)/((B$23)-'03_Định giá'!$C$35)*'01_Số liệu gốc'!$C$74)</f>
        <v>34071.839872049561</v>
      </c>
      <c r="C28" s="15">
        <f>MAX(0,(($A28)*(1-'03_Định giá'!$C$36)-'03_Định giá'!$C$35)/((C$23)-'03_Định giá'!$C$35)*'01_Số liệu gốc'!$C$74)</f>
        <v>29355.361484445795</v>
      </c>
      <c r="D28" s="15">
        <f>MAX(0,(($A28)*(1-'03_Định giá'!$C$36)-'03_Định giá'!$C$35)/((D$23)-'03_Định giá'!$C$35)*'01_Số liệu gốc'!$C$74)</f>
        <v>25785.886595772914</v>
      </c>
      <c r="E28" s="15">
        <f>MAX(0,(($A28)*(1-'03_Định giá'!$C$36)-'03_Định giá'!$C$35)/((E$23)-'03_Định giá'!$C$35)*'01_Số liệu gốc'!$C$74)</f>
        <v>22990.365499093285</v>
      </c>
      <c r="F28" s="15">
        <f>MAX(0,(($A28)*(1-'03_Định giá'!$C$36)-'03_Định giá'!$C$35)/((F$23)-'03_Định giá'!$C$35)*'01_Số liệu gốc'!$C$74)</f>
        <v>20741.699077037993</v>
      </c>
    </row>
    <row r="29" spans="1:7" x14ac:dyDescent="0.3">
      <c r="A29" s="116" t="s">
        <v>533</v>
      </c>
      <c r="B29" s="115"/>
      <c r="C29" s="115"/>
      <c r="D29" s="115"/>
      <c r="E29" s="115"/>
      <c r="F29" s="115"/>
      <c r="G29" s="115"/>
    </row>
    <row r="31" spans="1:7" x14ac:dyDescent="0.3">
      <c r="A31" s="11" t="s">
        <v>837</v>
      </c>
      <c r="B31" s="12"/>
      <c r="C31" s="12"/>
      <c r="D31" s="12"/>
      <c r="E31" s="12"/>
      <c r="F31" s="12"/>
      <c r="G31" s="12"/>
    </row>
    <row r="32" spans="1:7" x14ac:dyDescent="0.3">
      <c r="A32" s="13" t="s">
        <v>534</v>
      </c>
      <c r="B32" s="13" t="s">
        <v>535</v>
      </c>
      <c r="C32" s="13" t="s">
        <v>763</v>
      </c>
      <c r="D32" s="13" t="s">
        <v>536</v>
      </c>
      <c r="E32" s="13" t="s">
        <v>537</v>
      </c>
      <c r="F32" s="13" t="s">
        <v>538</v>
      </c>
      <c r="G32" s="13" t="s">
        <v>539</v>
      </c>
    </row>
    <row r="33" spans="1:7" x14ac:dyDescent="0.3">
      <c r="A33" s="14" t="s">
        <v>540</v>
      </c>
      <c r="C33" s="77">
        <f>'03_Định giá'!$H$256</f>
        <v>26693.756718942375</v>
      </c>
      <c r="D33" s="15">
        <f>C33-'03_Định giá'!$C$256</f>
        <v>0</v>
      </c>
      <c r="E33" s="19">
        <f>C33/'03_Định giá'!$C$256-1</f>
        <v>0</v>
      </c>
      <c r="F33" s="14" t="s">
        <v>541</v>
      </c>
      <c r="G33" s="17" t="s">
        <v>542</v>
      </c>
    </row>
    <row r="34" spans="1:7" x14ac:dyDescent="0.3">
      <c r="A34" s="14" t="s">
        <v>543</v>
      </c>
      <c r="B34" s="78">
        <f>'03_Định giá'!$I$27</f>
        <v>0</v>
      </c>
      <c r="C34" s="77">
        <f>'03_Định giá'!$I$256</f>
        <v>27647.685630316602</v>
      </c>
      <c r="D34" s="15">
        <f>C34-'03_Định giá'!$C$256</f>
        <v>953.92891137422703</v>
      </c>
      <c r="E34" s="19">
        <f>C34/'03_Định giá'!$C$256-1</f>
        <v>3.5736030766224225E-2</v>
      </c>
      <c r="F34" s="14" t="s">
        <v>544</v>
      </c>
      <c r="G34" s="17" t="s">
        <v>545</v>
      </c>
    </row>
    <row r="35" spans="1:7" x14ac:dyDescent="0.3">
      <c r="A35" s="14" t="s">
        <v>546</v>
      </c>
      <c r="B35" s="78">
        <f>'03_Định giá'!$J$29</f>
        <v>2028</v>
      </c>
      <c r="C35" s="77">
        <f>'03_Định giá'!$J$256</f>
        <v>26513.157991707274</v>
      </c>
      <c r="D35" s="15">
        <f>C35-'03_Định giá'!$C$256</f>
        <v>-180.59872723510125</v>
      </c>
      <c r="E35" s="19">
        <f>C35/'03_Định giá'!$C$256-1</f>
        <v>-6.7655792752072674E-3</v>
      </c>
      <c r="F35" s="14" t="s">
        <v>547</v>
      </c>
      <c r="G35" s="17" t="s">
        <v>548</v>
      </c>
    </row>
    <row r="36" spans="1:7" x14ac:dyDescent="0.3">
      <c r="A36" s="14" t="s">
        <v>549</v>
      </c>
      <c r="B36" s="55">
        <f>'03_Định giá'!$K$21</f>
        <v>13000</v>
      </c>
      <c r="C36" s="77">
        <f>'03_Định giá'!$K$256</f>
        <v>24844.445056108158</v>
      </c>
      <c r="D36" s="15">
        <f>C36-'03_Định giá'!$C$256</f>
        <v>-1849.3116628342177</v>
      </c>
      <c r="E36" s="19">
        <f>C36/'03_Định giá'!$C$256-1</f>
        <v>-6.9278808610775733E-2</v>
      </c>
      <c r="F36" s="14" t="s">
        <v>550</v>
      </c>
      <c r="G36" s="17" t="s">
        <v>551</v>
      </c>
    </row>
    <row r="37" spans="1:7" x14ac:dyDescent="0.3">
      <c r="A37" s="14" t="s">
        <v>552</v>
      </c>
      <c r="B37" s="55">
        <f>'03_Định giá'!$L$22</f>
        <v>11500</v>
      </c>
      <c r="C37" s="77">
        <f>'03_Định giá'!$L$256</f>
        <v>25519.590583809542</v>
      </c>
      <c r="D37" s="15">
        <f>C37-'03_Định giá'!$C$256</f>
        <v>-1174.166135132833</v>
      </c>
      <c r="E37" s="19">
        <f>C37/'03_Định giá'!$C$256-1</f>
        <v>-4.3986545149698797E-2</v>
      </c>
      <c r="F37" s="14" t="s">
        <v>553</v>
      </c>
      <c r="G37" s="17"/>
    </row>
    <row r="38" spans="1:7" x14ac:dyDescent="0.3">
      <c r="A38" s="14" t="s">
        <v>554</v>
      </c>
      <c r="B38" s="50">
        <f>'03_Định giá'!$M$32</f>
        <v>0.1</v>
      </c>
      <c r="C38" s="77">
        <f>'03_Định giá'!$M$256</f>
        <v>25186.558475278594</v>
      </c>
      <c r="D38" s="15">
        <f>C38-'03_Định giá'!$C$256</f>
        <v>-1507.1982436637809</v>
      </c>
      <c r="E38" s="19">
        <f>C38/'03_Định giá'!$C$256-1</f>
        <v>-5.6462575108217949E-2</v>
      </c>
      <c r="F38" s="14" t="s">
        <v>555</v>
      </c>
      <c r="G38" s="17" t="s">
        <v>556</v>
      </c>
    </row>
    <row r="39" spans="1:7" x14ac:dyDescent="0.3">
      <c r="A39" s="14" t="s">
        <v>557</v>
      </c>
      <c r="B39" s="79">
        <f>'03_Định giá'!$N$33</f>
        <v>0.85</v>
      </c>
      <c r="C39" s="77">
        <f>'03_Định giá'!$N$256</f>
        <v>24720.971898107164</v>
      </c>
      <c r="D39" s="15">
        <f>C39-'03_Định giá'!$C$256</f>
        <v>-1972.7848208352116</v>
      </c>
      <c r="E39" s="19">
        <f>C39/'03_Định giá'!$C$256-1</f>
        <v>-7.3904353051786331E-2</v>
      </c>
      <c r="F39" s="14" t="s">
        <v>558</v>
      </c>
      <c r="G39" s="17" t="s">
        <v>559</v>
      </c>
    </row>
    <row r="40" spans="1:7" x14ac:dyDescent="0.3">
      <c r="A40" s="14" t="s">
        <v>560</v>
      </c>
      <c r="B40" s="55">
        <f>'03_Định giá'!$O$15</f>
        <v>1000</v>
      </c>
      <c r="C40" s="77">
        <f>'03_Định giá'!$O$256</f>
        <v>26693.756718942375</v>
      </c>
      <c r="D40" s="15">
        <f>C40-'03_Định giá'!$C$256</f>
        <v>0</v>
      </c>
      <c r="E40" s="19">
        <f>C40/'03_Định giá'!$C$256-1</f>
        <v>0</v>
      </c>
      <c r="F40" s="14" t="s">
        <v>561</v>
      </c>
      <c r="G40" s="17" t="s">
        <v>774</v>
      </c>
    </row>
    <row r="41" spans="1:7" x14ac:dyDescent="0.3">
      <c r="A41" s="14" t="s">
        <v>562</v>
      </c>
      <c r="B41" s="49">
        <f>'03_Định giá'!$P$6</f>
        <v>2166.7860000000001</v>
      </c>
      <c r="C41" s="77">
        <f>'03_Định giá'!$P$256</f>
        <v>25015.837900698451</v>
      </c>
      <c r="D41" s="15">
        <f>C41-'03_Định giá'!$C$256</f>
        <v>-1677.9188182439248</v>
      </c>
      <c r="E41" s="19">
        <f>C41/'03_Định giá'!$C$256-1</f>
        <v>-6.2858099589004013E-2</v>
      </c>
      <c r="F41" s="14" t="s">
        <v>563</v>
      </c>
      <c r="G41" s="17" t="s">
        <v>564</v>
      </c>
    </row>
    <row r="42" spans="1:7" x14ac:dyDescent="0.3">
      <c r="A42" s="14" t="s">
        <v>565</v>
      </c>
      <c r="B42" s="49">
        <f>'03_Định giá'!$Q$6</f>
        <v>2710.1229999999996</v>
      </c>
      <c r="C42" s="77">
        <f>'03_Định giá'!$Q$256</f>
        <v>28234.871482894956</v>
      </c>
      <c r="D42" s="15">
        <f>C42-'03_Định giá'!$C$256</f>
        <v>1541.1147639525807</v>
      </c>
      <c r="E42" s="19">
        <f>C42/'03_Định giá'!$C$256-1</f>
        <v>5.7733153867360221E-2</v>
      </c>
      <c r="F42" s="14" t="s">
        <v>566</v>
      </c>
      <c r="G42" s="17" t="s">
        <v>567</v>
      </c>
    </row>
    <row r="43" spans="1:7" x14ac:dyDescent="0.3">
      <c r="A43" s="14" t="s">
        <v>568</v>
      </c>
      <c r="B43" s="50">
        <f>'03_Định giá'!$R$9</f>
        <v>0.27366485883852304</v>
      </c>
      <c r="C43" s="77">
        <f>'03_Định giá'!$R$256</f>
        <v>25950.277842866806</v>
      </c>
      <c r="D43" s="15">
        <f>C43-'03_Định giá'!$C$256</f>
        <v>-743.47887607556913</v>
      </c>
      <c r="E43" s="19">
        <f>C43/'03_Định giá'!$C$256-1</f>
        <v>-2.7852163481657199E-2</v>
      </c>
      <c r="F43" s="14" t="s">
        <v>569</v>
      </c>
      <c r="G43" s="17"/>
    </row>
    <row r="44" spans="1:7" x14ac:dyDescent="0.3">
      <c r="A44" s="14" t="s">
        <v>570</v>
      </c>
      <c r="B44" s="54">
        <f>'03_Định giá'!$S$12</f>
        <v>10</v>
      </c>
      <c r="C44" s="77">
        <f>'03_Định giá'!$S$256</f>
        <v>26693.756718942375</v>
      </c>
      <c r="D44" s="15">
        <f>C44-'03_Định giá'!$C$256</f>
        <v>0</v>
      </c>
      <c r="E44" s="19">
        <f>C44/'03_Định giá'!$C$256-1</f>
        <v>0</v>
      </c>
      <c r="F44" s="14" t="s">
        <v>571</v>
      </c>
      <c r="G44" s="17" t="s">
        <v>775</v>
      </c>
    </row>
    <row r="45" spans="1:7" x14ac:dyDescent="0.3">
      <c r="A45" s="14" t="s">
        <v>572</v>
      </c>
      <c r="B45" s="54">
        <f>'03_Định giá'!$T$12</f>
        <v>13.89</v>
      </c>
      <c r="C45" s="77">
        <f>'03_Định giá'!$T$256</f>
        <v>26693.756718942375</v>
      </c>
      <c r="D45" s="15">
        <f>C45-'03_Định giá'!$C$256</f>
        <v>0</v>
      </c>
      <c r="E45" s="19">
        <f>C45/'03_Định giá'!$C$256-1</f>
        <v>0</v>
      </c>
      <c r="F45" s="14" t="s">
        <v>573</v>
      </c>
      <c r="G45" s="17" t="s">
        <v>776</v>
      </c>
    </row>
    <row r="46" spans="1:7" x14ac:dyDescent="0.3">
      <c r="A46" s="14" t="s">
        <v>574</v>
      </c>
      <c r="B46" s="50">
        <f>'03_Định giá'!$U$8</f>
        <v>6.3439954856783776E-3</v>
      </c>
      <c r="C46" s="77">
        <f>'03_Định giá'!$U$256</f>
        <v>27980.743978572147</v>
      </c>
      <c r="D46" s="15">
        <f>C46-'03_Định giá'!$C$256</f>
        <v>1286.9872596297719</v>
      </c>
      <c r="E46" s="19">
        <f>C46/'03_Định giá'!$C$256-1</f>
        <v>4.8213043715817694E-2</v>
      </c>
      <c r="F46" s="14" t="s">
        <v>575</v>
      </c>
      <c r="G46" s="17" t="s">
        <v>576</v>
      </c>
    </row>
    <row r="47" spans="1:7" x14ac:dyDescent="0.3">
      <c r="A47" s="14" t="s">
        <v>577</v>
      </c>
      <c r="B47" s="79">
        <f>'03_Định giá'!$V$33</f>
        <v>0.65</v>
      </c>
      <c r="C47" s="77">
        <f>'03_Định giá'!$V$256</f>
        <v>28011.324333151344</v>
      </c>
      <c r="D47" s="15">
        <f>C47-'03_Định giá'!$C$256</f>
        <v>1317.5676142089687</v>
      </c>
      <c r="E47" s="19">
        <f>C47/'03_Định giá'!$C$256-1</f>
        <v>4.9358643224391097E-2</v>
      </c>
      <c r="F47" s="14" t="s">
        <v>59</v>
      </c>
      <c r="G47" s="17" t="s">
        <v>578</v>
      </c>
    </row>
    <row r="48" spans="1:7" x14ac:dyDescent="0.3">
      <c r="A48" s="14" t="s">
        <v>932</v>
      </c>
      <c r="B48" s="50">
        <f>'03_Định giá'!$W$40</f>
        <v>0.05</v>
      </c>
      <c r="C48" s="77">
        <f>'03_Định giá'!$W$256</f>
        <v>27092.246083387457</v>
      </c>
      <c r="D48" s="15">
        <f>C48-'03_Định giá'!$C$256</f>
        <v>398.48936444508217</v>
      </c>
      <c r="E48" s="19">
        <f>C48/'03_Định giá'!$C$256-1</f>
        <v>1.4928185966507579E-2</v>
      </c>
      <c r="F48" s="14" t="s">
        <v>754</v>
      </c>
      <c r="G48" s="17" t="s">
        <v>933</v>
      </c>
    </row>
    <row r="49" spans="1:7" x14ac:dyDescent="0.3">
      <c r="A49" s="14" t="s">
        <v>579</v>
      </c>
      <c r="C49" s="77">
        <f>AVERAGE('03_Định giá'!$C$221,'03_Định giá'!$C$239,'03_Định giá'!$C$248,'03_Định giá'!$C$230,'03_Định giá'!$C$226)</f>
        <v>24436.078854260046</v>
      </c>
      <c r="D49" s="15">
        <f>C49-'03_Định giá'!$C$256</f>
        <v>-2257.6778646823295</v>
      </c>
      <c r="E49" s="19">
        <f>C49/'03_Định giá'!$C$256-1</f>
        <v>-8.4577000099811395E-2</v>
      </c>
      <c r="G49" s="17"/>
    </row>
    <row r="50" spans="1:7" x14ac:dyDescent="0.3">
      <c r="A50" s="14" t="s">
        <v>580</v>
      </c>
      <c r="C50" s="77">
        <f>'03_Định giá'!$C$221</f>
        <v>27130.765334580294</v>
      </c>
      <c r="D50" s="15">
        <f>C50-'03_Định giá'!$C$256</f>
        <v>437.00861563791841</v>
      </c>
      <c r="E50" s="19">
        <f>C50/'03_Định giá'!$C$256-1</f>
        <v>1.6371191969686727E-2</v>
      </c>
      <c r="G50" s="17" t="s">
        <v>581</v>
      </c>
    </row>
    <row r="51" spans="1:7" x14ac:dyDescent="0.3">
      <c r="A51" s="14" t="s">
        <v>582</v>
      </c>
      <c r="C51" s="77">
        <f>'03_Định giá'!$C$248</f>
        <v>22496.248267500836</v>
      </c>
      <c r="D51" s="15">
        <f>C51-'03_Định giá'!$C$256</f>
        <v>-4197.5084514415394</v>
      </c>
      <c r="E51" s="19">
        <f>C51/'03_Định giá'!$C$256-1</f>
        <v>-0.15724682350397357</v>
      </c>
      <c r="G51" s="17" t="s">
        <v>583</v>
      </c>
    </row>
    <row r="52" spans="1:7" x14ac:dyDescent="0.3">
      <c r="A52" s="14" t="s">
        <v>764</v>
      </c>
      <c r="C52" s="77">
        <f>0.3*'03_Định giá'!$C$221+0.25*'03_Định giá'!$C$239+0.2*'03_Định giá'!$C$248+0.15*'03_Định giá'!$C$230+0.1*'03_Định giá'!$C$226+(0.3+0.25+0.1)*'02_Giả định'!$B$26*'03_Định giá'!$C$215</f>
        <v>25667.205804561647</v>
      </c>
      <c r="D52" s="15">
        <f>C52-'03_Định giá'!$C$256</f>
        <v>-1026.5509143807285</v>
      </c>
      <c r="E52" s="19">
        <f>C52/'03_Định giá'!$C$256-1</f>
        <v>-3.8456592123366051E-2</v>
      </c>
      <c r="G52" s="17" t="s">
        <v>838</v>
      </c>
    </row>
    <row r="53" spans="1:7" x14ac:dyDescent="0.3">
      <c r="A53" s="14" t="s">
        <v>835</v>
      </c>
      <c r="C53" s="77">
        <f>'03_Định giá'!$C$239+'02_Giả định'!$B$26*('03_Định giá'!$C$214-'03_Định giá'!$C$216)*1000/'01_Số liệu gốc'!$B$8</f>
        <v>27943.350355306011</v>
      </c>
      <c r="D53" s="15">
        <f>C53-'03_Định giá'!$C$256</f>
        <v>1249.5936363636356</v>
      </c>
      <c r="E53" s="19">
        <f>C53/'03_Định giá'!$C$256-1</f>
        <v>4.6812205922177386E-2</v>
      </c>
      <c r="G53" s="17" t="s">
        <v>839</v>
      </c>
    </row>
    <row r="54" spans="1:7" x14ac:dyDescent="0.3">
      <c r="A54" s="14" t="s">
        <v>765</v>
      </c>
      <c r="C54" s="77">
        <f>'03_Định giá'!$C$239-(0.2-'02_Giả định'!$B$26)*('03_Định giá'!$C$214-'03_Định giá'!$C$216)*1000/'01_Số liệu gốc'!$B$8</f>
        <v>25444.16308257874</v>
      </c>
      <c r="D54" s="15">
        <f>C54-'03_Định giá'!$C$256</f>
        <v>-1249.5936363636356</v>
      </c>
      <c r="E54" s="19">
        <f>C54/'03_Định giá'!$C$256-1</f>
        <v>-4.6812205922177386E-2</v>
      </c>
      <c r="G54" s="17" t="s">
        <v>766</v>
      </c>
    </row>
    <row r="56" spans="1:7" x14ac:dyDescent="0.3">
      <c r="A56" s="11" t="s">
        <v>840</v>
      </c>
      <c r="B56" s="12"/>
      <c r="C56" s="12"/>
      <c r="D56" s="12"/>
      <c r="E56" s="12"/>
      <c r="F56" s="12"/>
      <c r="G56" s="12"/>
    </row>
    <row r="57" spans="1:7" x14ac:dyDescent="0.3">
      <c r="A57" s="51" t="s">
        <v>841</v>
      </c>
      <c r="B57" s="76" t="s">
        <v>7</v>
      </c>
      <c r="C57" s="76" t="s">
        <v>8</v>
      </c>
      <c r="D57" s="76" t="s">
        <v>9</v>
      </c>
      <c r="E57" s="76"/>
      <c r="F57" s="76"/>
    </row>
    <row r="58" spans="1:7" x14ac:dyDescent="0.3">
      <c r="A58" s="100">
        <f>'03_Định giá'!$C$22+0</f>
        <v>10500</v>
      </c>
      <c r="B58" s="15">
        <f>'03_Định giá'!$B$256-($A58-'03_Định giá'!$B$22)*'03_Định giá'!$B$19/1000*'03_Định giá'!$B$209*('02_Giả định'!$B$19+'02_Giả định'!$B$20+'02_Giả định'!$B$23)*1000/'01_Số liệu gốc'!$B$8</f>
        <v>14575.268244566529</v>
      </c>
      <c r="C58" s="42">
        <f>'03_Định giá'!$C$256-($A58-'03_Định giá'!$C$22)*'03_Định giá'!$C$19/1000*'03_Định giá'!$C$209*('02_Giả định'!$B$19+'02_Giả định'!$B$20+'02_Giả định'!$B$23)*1000/'01_Số liệu gốc'!$B$8</f>
        <v>26693.756718942375</v>
      </c>
      <c r="D58" s="15">
        <f>'03_Định giá'!$D$256-($A58-'03_Định giá'!$D$22)*'03_Định giá'!$D$19/1000*'03_Định giá'!$D$209*('02_Giả định'!$B$19+'02_Giả định'!$B$20+'02_Giả định'!$B$23)*1000/'01_Số liệu gốc'!$B$8</f>
        <v>36657.749045922094</v>
      </c>
      <c r="E58" s="15"/>
      <c r="F58" s="15"/>
    </row>
    <row r="59" spans="1:7" x14ac:dyDescent="0.3">
      <c r="A59" s="100">
        <f>'03_Định giá'!$C$22+100</f>
        <v>10600</v>
      </c>
      <c r="B59" s="15">
        <f>'03_Định giá'!$B$256-($A59-'03_Định giá'!$B$22)*'03_Định giá'!$B$19/1000*'03_Định giá'!$B$209*('02_Giả định'!$B$19+'02_Giả định'!$B$20+'02_Giả định'!$B$23)*1000/'01_Số liệu gốc'!$B$8</f>
        <v>14472.213337365838</v>
      </c>
      <c r="C59" s="15">
        <f>'03_Định giá'!$C$256-($A59-'03_Định giá'!$C$22)*'03_Định giá'!$C$19/1000*'03_Định giá'!$C$209*('02_Giả định'!$B$19+'02_Giả định'!$B$20+'02_Giả định'!$B$23)*1000/'01_Số liệu gốc'!$B$8</f>
        <v>26576.340105429092</v>
      </c>
      <c r="D59" s="15">
        <f>'03_Định giá'!$D$256-($A59-'03_Định giá'!$D$22)*'03_Định giá'!$D$19/1000*'03_Định giá'!$D$209*('02_Giả định'!$B$19+'02_Giả định'!$B$20+'02_Giả định'!$B$23)*1000/'01_Số liệu gốc'!$B$8</f>
        <v>36526.989632470038</v>
      </c>
      <c r="E59" s="15"/>
      <c r="F59" s="15"/>
    </row>
    <row r="60" spans="1:7" x14ac:dyDescent="0.3">
      <c r="A60" s="100">
        <f>'03_Định giá'!$C$22+200</f>
        <v>10700</v>
      </c>
      <c r="B60" s="15">
        <f>'03_Định giá'!$B$256-($A60-'03_Định giá'!$B$22)*'03_Định giá'!$B$19/1000*'03_Định giá'!$B$209*('02_Giả định'!$B$19+'02_Giả định'!$B$20+'02_Giả định'!$B$23)*1000/'01_Số liệu gốc'!$B$8</f>
        <v>14369.158430165149</v>
      </c>
      <c r="C60" s="15">
        <f>'03_Định giá'!$C$256-($A60-'03_Định giá'!$C$22)*'03_Định giá'!$C$19/1000*'03_Định giá'!$C$209*('02_Giả định'!$B$19+'02_Giả định'!$B$20+'02_Giả định'!$B$23)*1000/'01_Số liệu gốc'!$B$8</f>
        <v>26458.923491915808</v>
      </c>
      <c r="D60" s="15">
        <f>'03_Định giá'!$D$256-($A60-'03_Định giá'!$D$22)*'03_Định giá'!$D$19/1000*'03_Định giá'!$D$209*('02_Giả định'!$B$19+'02_Giả định'!$B$20+'02_Giả định'!$B$23)*1000/'01_Số liệu gốc'!$B$8</f>
        <v>36396.230219017991</v>
      </c>
      <c r="E60" s="15"/>
      <c r="F60" s="15"/>
    </row>
    <row r="61" spans="1:7" x14ac:dyDescent="0.3">
      <c r="A61" s="100">
        <f>'03_Định giá'!$C$22+300</f>
        <v>10800</v>
      </c>
      <c r="B61" s="15">
        <f>'03_Định giá'!$B$256-($A61-'03_Định giá'!$B$22)*'03_Định giá'!$B$19/1000*'03_Định giá'!$B$209*('02_Giả định'!$B$19+'02_Giả định'!$B$20+'02_Giả định'!$B$23)*1000/'01_Số liệu gốc'!$B$8</f>
        <v>14266.103522964459</v>
      </c>
      <c r="C61" s="15">
        <f>'03_Định giá'!$C$256-($A61-'03_Định giá'!$C$22)*'03_Định giá'!$C$19/1000*'03_Định giá'!$C$209*('02_Giả định'!$B$19+'02_Giả định'!$B$20+'02_Giả định'!$B$23)*1000/'01_Số liệu gốc'!$B$8</f>
        <v>26341.506878402524</v>
      </c>
      <c r="D61" s="15">
        <f>'03_Định giá'!$D$256-($A61-'03_Định giá'!$D$22)*'03_Định giá'!$D$19/1000*'03_Định giá'!$D$209*('02_Giả định'!$B$19+'02_Giả định'!$B$20+'02_Giả định'!$B$23)*1000/'01_Số liệu gốc'!$B$8</f>
        <v>36265.470805565936</v>
      </c>
      <c r="E61" s="15"/>
      <c r="F61" s="15"/>
    </row>
    <row r="62" spans="1:7" x14ac:dyDescent="0.3">
      <c r="A62" s="100">
        <f>'03_Định giá'!$C$22+400</f>
        <v>10900</v>
      </c>
      <c r="B62" s="15">
        <f>'03_Định giá'!$B$256-($A62-'03_Định giá'!$B$22)*'03_Định giá'!$B$19/1000*'03_Định giá'!$B$209*('02_Giả định'!$B$19+'02_Giả định'!$B$20+'02_Giả định'!$B$23)*1000/'01_Số liệu gốc'!$B$8</f>
        <v>14163.04861576377</v>
      </c>
      <c r="C62" s="15">
        <f>'03_Định giá'!$C$256-($A62-'03_Định giá'!$C$22)*'03_Định giá'!$C$19/1000*'03_Định giá'!$C$209*('02_Giả định'!$B$19+'02_Giả định'!$B$20+'02_Giả định'!$B$23)*1000/'01_Số liệu gốc'!$B$8</f>
        <v>26224.090264889241</v>
      </c>
      <c r="D62" s="15">
        <f>'03_Định giá'!$D$256-($A62-'03_Định giá'!$D$22)*'03_Định giá'!$D$19/1000*'03_Định giá'!$D$209*('02_Giả định'!$B$19+'02_Giả định'!$B$20+'02_Giả định'!$B$23)*1000/'01_Số liệu gốc'!$B$8</f>
        <v>36134.711392113888</v>
      </c>
      <c r="E62" s="15"/>
      <c r="F62" s="15"/>
    </row>
    <row r="63" spans="1:7" x14ac:dyDescent="0.3">
      <c r="A63" s="100">
        <f>'03_Định giá'!$C$22+500</f>
        <v>11000</v>
      </c>
      <c r="B63" s="15">
        <f>'03_Định giá'!$B$256-($A63-'03_Định giá'!$B$22)*'03_Định giá'!$B$19/1000*'03_Định giá'!$B$209*('02_Giả định'!$B$19+'02_Giả định'!$B$20+'02_Giả định'!$B$23)*1000/'01_Số liệu gốc'!$B$8</f>
        <v>14059.993708563079</v>
      </c>
      <c r="C63" s="15">
        <f>'03_Định giá'!$C$256-($A63-'03_Định giá'!$C$22)*'03_Định giá'!$C$19/1000*'03_Định giá'!$C$209*('02_Giả định'!$B$19+'02_Giả định'!$B$20+'02_Giả định'!$B$23)*1000/'01_Số liệu gốc'!$B$8</f>
        <v>26106.673651375957</v>
      </c>
      <c r="D63" s="15">
        <f>'03_Định giá'!$D$256-($A63-'03_Định giá'!$D$22)*'03_Định giá'!$D$19/1000*'03_Định giá'!$D$209*('02_Giả định'!$B$19+'02_Giả định'!$B$20+'02_Giả định'!$B$23)*1000/'01_Số liệu gốc'!$B$8</f>
        <v>36003.951978661833</v>
      </c>
      <c r="E63" s="15"/>
      <c r="F63" s="15"/>
    </row>
    <row r="64" spans="1:7" x14ac:dyDescent="0.3">
      <c r="A64" s="76" t="s">
        <v>842</v>
      </c>
      <c r="B64" s="15">
        <f>B59-B58</f>
        <v>-103.05490720069065</v>
      </c>
      <c r="C64" s="15">
        <f>C59-C58</f>
        <v>-117.41661351328366</v>
      </c>
      <c r="D64" s="15">
        <f>D59-D58</f>
        <v>-130.75941345205501</v>
      </c>
      <c r="E64" s="15"/>
      <c r="F64" s="15"/>
    </row>
    <row r="65" spans="1:7" x14ac:dyDescent="0.3">
      <c r="A65" s="14" t="s">
        <v>843</v>
      </c>
      <c r="B65" t="str">
        <f>IF(AND('03_Định giá'!$B$70-'03_Định giá'!$B$19*($A$63-'03_Định giá'!$B$22)/1000&gt;0,'03_Định giá'!$C$70-'03_Định giá'!$C$19*($A$63-'03_Định giá'!$C$22)/1000&gt;0,'03_Định giá'!$D$70-'03_Định giá'!$D$19*($A$63-'03_Định giá'!$D$22)/1000&gt;0),"ĐẠT","SAI — lãi trang trại âm ở dòng cuối: quỹ không trích trên lãi âm, bảng tính dư")</f>
        <v>ĐẠT</v>
      </c>
      <c r="C65" s="77"/>
      <c r="D65" s="15"/>
      <c r="E65" s="19"/>
      <c r="G65" s="17"/>
    </row>
    <row r="66" spans="1:7" x14ac:dyDescent="0.3">
      <c r="A66" s="116" t="s">
        <v>934</v>
      </c>
      <c r="B66" s="115"/>
      <c r="C66" s="115"/>
      <c r="D66" s="115"/>
      <c r="E66" s="115"/>
      <c r="F66" s="115"/>
      <c r="G66" s="115"/>
    </row>
  </sheetData>
  <mergeCells count="4">
    <mergeCell ref="A20:G20"/>
    <mergeCell ref="A11:G11"/>
    <mergeCell ref="A29:G29"/>
    <mergeCell ref="A66:G66"/>
  </mergeCells>
  <conditionalFormatting sqref="B15:F19">
    <cfRule type="expression" dxfId="5" priority="5">
      <formula>B15&lt;0</formula>
    </cfRule>
  </conditionalFormatting>
  <conditionalFormatting sqref="B58:F63">
    <cfRule type="expression" dxfId="3" priority="2">
      <formula>B58&lt;0</formula>
    </cfRule>
  </conditionalFormatting>
  <conditionalFormatting sqref="E64:F64">
    <cfRule type="expression" dxfId="0" priority="3">
      <formula>E64&lt;0</formula>
    </cfRule>
  </conditionalFormatting>
  <pageMargins left="0.4" right="0.4" top="0.7" bottom="0.6" header="0.5" footer="0.5"/>
  <pageSetup paperSize="9" scale="60" fitToHeight="0" orientation="landscape" r:id="rId1"/>
  <headerFooter>
    <oddHeader>&amp;R&amp;A&amp;LMCM — Định giá DCF + tiền + dự án</oddHeader>
    <oddFooter>&amp;RTrang &amp;P / &amp;N&amp;LFairline Research — bản 15/10/2026</oddFooter>
  </headerFooter>
  <rowBreaks count="1" manualBreakCount="1">
    <brk id="30" max="16383" man="1"/>
  </rowBreaks>
  <extLst>
    <ext xmlns:x14="http://schemas.microsoft.com/office/spreadsheetml/2009/9/main" uri="{78C0D931-6437-407d-A8EE-F0AAD7539E65}">
      <x14:conditionalFormattings>
        <x14:conditionalFormatting xmlns:xm="http://schemas.microsoft.com/office/excel/2006/main">
          <x14:cfRule type="cellIs" priority="8" stopIfTrue="1" operator="lessThan" id="{3765C195-5A71-437C-8A0A-0C680CC16654}">
            <xm:f>'01_Số liệu gốc'!$B$11</xm:f>
            <x14:dxf>
              <fill>
                <patternFill>
                  <bgColor rgb="FFFCE4D6"/>
                </patternFill>
              </fill>
            </x14:dxf>
          </x14:cfRule>
          <xm:sqref>B58:D63</xm:sqref>
        </x14:conditionalFormatting>
        <x14:conditionalFormatting xmlns:xm="http://schemas.microsoft.com/office/excel/2006/main">
          <x14:cfRule type="expression" priority="4" id="{00000000-000E-0000-0400-000001000000}">
            <xm:f>B6&lt;'01_Số liệu gốc'!$B$11</xm:f>
            <x14:dxf>
              <fill>
                <patternFill patternType="solid">
                  <fgColor rgb="FFFCE4D6"/>
                  <bgColor rgb="FFFCE4D6"/>
                </patternFill>
              </fill>
            </x14:dxf>
          </x14:cfRule>
          <xm:sqref>B6:F10</xm:sqref>
        </x14:conditionalFormatting>
        <x14:conditionalFormatting xmlns:xm="http://schemas.microsoft.com/office/excel/2006/main">
          <x14:cfRule type="expression" priority="6" id="{00000000-000E-0000-0400-000003000000}">
            <xm:f>B24&lt;'01_Số liệu gốc'!$B$11</xm:f>
            <x14:dxf>
              <fill>
                <patternFill patternType="solid">
                  <fgColor rgb="FFFCE4D6"/>
                  <bgColor rgb="FFFCE4D6"/>
                </patternFill>
              </fill>
            </x14:dxf>
          </x14:cfRule>
          <xm:sqref>B24:F28</xm:sqref>
        </x14:conditionalFormatting>
        <x14:conditionalFormatting xmlns:xm="http://schemas.microsoft.com/office/excel/2006/main">
          <x14:cfRule type="expression" priority="7" id="{00000000-000E-0000-0400-000004000000}">
            <xm:f>C33&lt;'01_Số liệu gốc'!$B$11</xm:f>
            <x14:dxf>
              <fill>
                <patternFill patternType="solid">
                  <fgColor rgb="FFFCE4D6"/>
                  <bgColor rgb="FFFCE4D6"/>
                </patternFill>
              </fill>
            </x14:dxf>
          </x14:cfRule>
          <xm:sqref>C33:C54</xm:sqref>
        </x14:conditionalFormatting>
        <x14:conditionalFormatting xmlns:xm="http://schemas.microsoft.com/office/excel/2006/main">
          <x14:cfRule type="expression" priority="1" id="{76D45A63-210C-4242-ABC7-EDCE7F9C436D}">
            <xm:f>C65&lt;'01_Số liệu gốc'!$B$11</xm:f>
            <x14:dxf>
              <fill>
                <patternFill patternType="solid">
                  <fgColor rgb="FFFCE4D6"/>
                  <bgColor rgb="FFFCE4D6"/>
                </patternFill>
              </fill>
            </x14:dxf>
          </x14:cfRule>
          <xm:sqref>C65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pageSetUpPr fitToPage="1"/>
  </sheetPr>
  <dimension ref="A1:F62"/>
  <sheetViews>
    <sheetView showGridLines="0" zoomScale="90" workbookViewId="0">
      <selection activeCell="C5" sqref="C5"/>
    </sheetView>
  </sheetViews>
  <sheetFormatPr defaultRowHeight="14.4" x14ac:dyDescent="0.3"/>
  <cols>
    <col min="1" max="1" width="64" customWidth="1"/>
    <col min="2" max="4" width="16" customWidth="1"/>
    <col min="5" max="5" width="30" customWidth="1"/>
    <col min="6" max="6" width="80" customWidth="1"/>
  </cols>
  <sheetData>
    <row r="1" spans="1:6" ht="18" x14ac:dyDescent="0.3">
      <c r="A1" s="1" t="s">
        <v>584</v>
      </c>
    </row>
    <row r="3" spans="1:6" x14ac:dyDescent="0.3">
      <c r="A3" s="80" t="s">
        <v>935</v>
      </c>
      <c r="B3" s="12"/>
      <c r="C3" s="12"/>
      <c r="D3" s="12"/>
      <c r="E3" s="12"/>
      <c r="F3" s="12"/>
    </row>
    <row r="4" spans="1:6" x14ac:dyDescent="0.3">
      <c r="A4" s="13" t="s">
        <v>83</v>
      </c>
      <c r="B4" s="13" t="s">
        <v>585</v>
      </c>
      <c r="C4" s="13"/>
      <c r="D4" s="13" t="s">
        <v>830</v>
      </c>
      <c r="E4" s="13"/>
      <c r="F4" s="13" t="s">
        <v>11</v>
      </c>
    </row>
    <row r="5" spans="1:6" x14ac:dyDescent="0.3">
      <c r="A5" s="14" t="s">
        <v>586</v>
      </c>
      <c r="B5" s="27">
        <f>'01_Số liệu gốc'!$B$11*'01_Số liệu gốc'!$B$8/1000</f>
        <v>2926</v>
      </c>
      <c r="C5" s="27"/>
      <c r="D5" s="27">
        <f>'03_Định giá'!$C$256*'01_Số liệu gốc'!$B$8/1000</f>
        <v>2936.3132390836613</v>
      </c>
    </row>
    <row r="6" spans="1:6" x14ac:dyDescent="0.3">
      <c r="A6" s="14" t="s">
        <v>587</v>
      </c>
      <c r="B6" s="27">
        <f>B5-'01_Số liệu gốc'!$C$65</f>
        <v>1527.463</v>
      </c>
      <c r="C6" s="27"/>
      <c r="D6" s="27">
        <f>D5-'01_Số liệu gốc'!$C$65</f>
        <v>1537.7762390836613</v>
      </c>
      <c r="F6" s="38" t="s">
        <v>588</v>
      </c>
    </row>
    <row r="7" spans="1:6" x14ac:dyDescent="0.3">
      <c r="A7" s="9" t="s">
        <v>589</v>
      </c>
      <c r="B7" s="81">
        <f>B5/'01_Số liệu gốc'!$H$51</f>
        <v>11.218034735268184</v>
      </c>
      <c r="C7" s="81"/>
      <c r="D7" s="81">
        <f>D5/'01_Số liệu gốc'!$H$51</f>
        <v>11.257574815334362</v>
      </c>
      <c r="F7" s="38" t="s">
        <v>590</v>
      </c>
    </row>
    <row r="8" spans="1:6" x14ac:dyDescent="0.3">
      <c r="A8" s="9" t="s">
        <v>591</v>
      </c>
      <c r="B8" s="81">
        <f>B6/('02_Giả định'!$B$35*(1-'02_Giả định'!$B$48)*(1-'02_Giả định'!$B$13))</f>
        <v>9.365120434357058</v>
      </c>
      <c r="C8" s="81"/>
      <c r="D8" s="81">
        <f>D6/('02_Giả định'!$B$35*(1-'02_Giả định'!$B$48)*(1-'02_Giả định'!$B$13))</f>
        <v>9.4283525559120864</v>
      </c>
      <c r="F8" s="38" t="s">
        <v>592</v>
      </c>
    </row>
    <row r="9" spans="1:6" x14ac:dyDescent="0.3">
      <c r="A9" s="9" t="s">
        <v>593</v>
      </c>
      <c r="B9" s="81">
        <f>B6/'03_Định giá'!$C$58</f>
        <v>8.6832623686460497</v>
      </c>
      <c r="C9" s="81"/>
      <c r="D9" s="81">
        <f>D6/'03_Định giá'!$C$58</f>
        <v>8.7418906698448389</v>
      </c>
      <c r="F9" s="38" t="s">
        <v>594</v>
      </c>
    </row>
    <row r="10" spans="1:6" x14ac:dyDescent="0.3">
      <c r="A10" s="9" t="s">
        <v>595</v>
      </c>
      <c r="B10" s="81">
        <f>'01_Số liệu gốc'!$B$11/'01_Số liệu gốc'!$C$74</f>
        <v>1.2606151681387487</v>
      </c>
      <c r="C10" s="81"/>
      <c r="D10" s="81">
        <f>'03_Định giá'!$C$256/'01_Số liệu gốc'!$C$74</f>
        <v>1.2650584441543007</v>
      </c>
      <c r="F10" s="38"/>
    </row>
    <row r="11" spans="1:6" x14ac:dyDescent="0.3">
      <c r="A11" s="9" t="s">
        <v>596</v>
      </c>
      <c r="B11" s="81">
        <f>B6/('02_Giả định'!$B$35+'01_Số liệu gốc'!$H$52)</f>
        <v>5.7472034615746432</v>
      </c>
      <c r="C11" s="81"/>
      <c r="D11" s="81">
        <f>D6/('02_Giả định'!$B$35+'01_Số liệu gốc'!$H$52)</f>
        <v>5.7860078603467668</v>
      </c>
      <c r="F11" s="38"/>
    </row>
    <row r="12" spans="1:6" x14ac:dyDescent="0.3">
      <c r="A12" s="9" t="s">
        <v>597</v>
      </c>
      <c r="B12" s="82">
        <f>'01_Số liệu gốc'!$B$135/'01_Số liệu gốc'!$B$11</f>
        <v>7.5187969924812026E-2</v>
      </c>
      <c r="C12" s="82"/>
      <c r="D12" s="82">
        <f>'01_Số liệu gốc'!$B$135/'03_Định giá'!$C$256</f>
        <v>7.4923886549874918E-2</v>
      </c>
      <c r="F12" s="38" t="s">
        <v>598</v>
      </c>
    </row>
    <row r="13" spans="1:6" x14ac:dyDescent="0.3">
      <c r="A13" s="14" t="s">
        <v>832</v>
      </c>
      <c r="B13" s="83">
        <f>(1-'02_Giả định'!$B$13-'02_Giả định'!$B$12/'02_Giả định'!$B$54)/((1-'02_Giả định'!$B$13)*('02_Giả định'!$B$10-'02_Giả định'!$B$12))</f>
        <v>9.7892537222866949</v>
      </c>
      <c r="F13" s="38" t="s">
        <v>599</v>
      </c>
    </row>
    <row r="14" spans="1:6" x14ac:dyDescent="0.3">
      <c r="A14" s="14" t="s">
        <v>833</v>
      </c>
      <c r="B14" s="83">
        <f>(1-'02_Giả định'!$B$48)*(1-'02_Giả định'!$B$13-'02_Giả định'!$B$12/'02_Giả định'!$B$54)*('02_Giả định'!$B$35/('02_Giả định'!$B$35+'01_Số liệu gốc'!$H$52))/('02_Giả định'!$B$10-'02_Giả định'!$B$12)</f>
        <v>6.0074863183348928</v>
      </c>
      <c r="F14" s="38" t="s">
        <v>600</v>
      </c>
    </row>
    <row r="16" spans="1:6" x14ac:dyDescent="0.3">
      <c r="A16" s="11" t="s">
        <v>601</v>
      </c>
      <c r="B16" s="12"/>
      <c r="C16" s="12"/>
      <c r="D16" s="12"/>
      <c r="E16" s="12"/>
      <c r="F16" s="12"/>
    </row>
    <row r="17" spans="1:6" x14ac:dyDescent="0.3">
      <c r="A17" s="9" t="s">
        <v>602</v>
      </c>
      <c r="B17" s="25">
        <f>'02_Giả định'!$B$12+'01_Số liệu gốc'!$B$11/'01_Số liệu gốc'!$C$74*('02_Giả định'!$B$10-'02_Giả định'!$B$12)</f>
        <v>0.1336729914277307</v>
      </c>
      <c r="F17" s="38"/>
    </row>
    <row r="18" spans="1:6" x14ac:dyDescent="0.3">
      <c r="A18" s="14" t="s">
        <v>603</v>
      </c>
      <c r="B18" s="50">
        <f>B17/(1-'02_Giả định'!$B$13)</f>
        <v>0.14852554603081189</v>
      </c>
      <c r="F18" s="38" t="s">
        <v>604</v>
      </c>
    </row>
    <row r="19" spans="1:6" x14ac:dyDescent="0.3">
      <c r="A19" s="9" t="s">
        <v>605</v>
      </c>
      <c r="B19" s="83">
        <f>(('01_Số liệu gốc'!$B$11*'01_Số liệu gốc'!$B$8/1000)-'01_Số liệu gốc'!$C$65)/'03_Định giá'!$C$58</f>
        <v>8.6832623686460497</v>
      </c>
      <c r="F19" s="38" t="s">
        <v>606</v>
      </c>
    </row>
    <row r="20" spans="1:6" x14ac:dyDescent="0.3">
      <c r="A20" s="9" t="s">
        <v>607</v>
      </c>
      <c r="B20" s="83">
        <f>(('01_Số liệu gốc'!$B$11*'01_Số liệu gốc'!$B$8/1000)-'01_Số liệu gốc'!$C$65-'03_Định giá'!$C$207)/'03_Định giá'!$C$58</f>
        <v>9.5503559754257381</v>
      </c>
      <c r="F20" s="38" t="s">
        <v>608</v>
      </c>
    </row>
    <row r="21" spans="1:6" x14ac:dyDescent="0.3">
      <c r="A21" s="9" t="s">
        <v>609</v>
      </c>
      <c r="B21" s="24">
        <f>((('01_Số liệu gốc'!$B$11*'01_Số liệu gốc'!$B$8/1000)-'01_Số liệu gốc'!$C$65-'03_Định giá'!$C$207)/'03_Định giá'!$C$12/((1-'03_Định giá'!$C$10)*(1-'03_Định giá'!$C$36))+'03_Định giá'!$C$42-'03_Định giá'!$C$40*'03_Định giá'!$C$7)/('03_Định giá'!$C$53-'03_Định giá'!$C$9)</f>
        <v>2129.1731409476638</v>
      </c>
      <c r="F21" s="38" t="s">
        <v>610</v>
      </c>
    </row>
    <row r="22" spans="1:6" x14ac:dyDescent="0.3">
      <c r="A22" s="9" t="s">
        <v>611</v>
      </c>
      <c r="B22" s="24">
        <f>('01_Số liệu gốc'!$B$11*'01_Số liệu gốc'!$B$8/1000)-'01_Số liệu gốc'!$C$65-'03_Định giá'!$C$219</f>
        <v>-372.3529562201802</v>
      </c>
      <c r="F22" s="38" t="s">
        <v>612</v>
      </c>
    </row>
    <row r="23" spans="1:6" x14ac:dyDescent="0.3">
      <c r="A23" s="9" t="s">
        <v>613</v>
      </c>
      <c r="B23" s="25">
        <f>'02_Giả định'!$B$12+'03_Định giá'!$C$58*(1-'02_Giả định'!$B$12/'02_Giả định'!$B$54)/(('01_Số liệu gốc'!$B$11*'01_Số liệu gốc'!$B$8/1000)-'01_Số liệu gốc'!$C$65-'03_Định giá'!$C$207)</f>
        <v>0.11633828996850711</v>
      </c>
      <c r="F23" s="38" t="s">
        <v>614</v>
      </c>
    </row>
    <row r="24" spans="1:6" x14ac:dyDescent="0.3">
      <c r="A24" s="9" t="s">
        <v>615</v>
      </c>
      <c r="B24" s="25">
        <f>((('01_Số liệu gốc'!$B$11*'01_Số liệu gốc'!$B$8/1000)-'01_Số liệu gốc'!$C$65)*B23+'01_Số liệu gốc'!$C$65*'03_Định giá'!$C$16*(1-'02_Giả định'!$B$14)*(1-'02_Giả định'!$B$13))/('01_Số liệu gốc'!$B$11*'01_Số liệu gốc'!$B$8/1000)</f>
        <v>8.4821838075928149E-2</v>
      </c>
      <c r="F24" s="38" t="s">
        <v>616</v>
      </c>
    </row>
    <row r="25" spans="1:6" x14ac:dyDescent="0.3">
      <c r="A25" s="9" t="s">
        <v>617</v>
      </c>
      <c r="B25" s="84">
        <f>(B24-'02_Giả định'!$B$17)*100</f>
        <v>-0.51781619240718468</v>
      </c>
      <c r="F25" s="38" t="s">
        <v>936</v>
      </c>
    </row>
    <row r="26" spans="1:6" x14ac:dyDescent="0.3">
      <c r="A26" s="14" t="s">
        <v>618</v>
      </c>
      <c r="B26" s="55">
        <f>(B17-'02_Giả định'!$B$12)/('02_Giả định'!$B$10-'02_Giả định'!$B$12)*'01_Số liệu gốc'!$C$74</f>
        <v>26600.000000000004</v>
      </c>
      <c r="C26" s="10" t="str">
        <f>IF(ABS(B26-'01_Số liệu gốc'!$B$11)&lt;0.01,"KHỚP","LỆCH")</f>
        <v>KHỚP</v>
      </c>
    </row>
    <row r="27" spans="1:6" x14ac:dyDescent="0.3">
      <c r="A27" s="14" t="s">
        <v>619</v>
      </c>
      <c r="B27" s="55">
        <f>(('03_Định giá'!$C$40*'03_Định giá'!$C$7+('03_Định giá'!$C$53-'03_Định giá'!$C$9)*B21-'03_Định giá'!$C$42)*(1-'03_Định giá'!$C$10)*(1-'03_Định giá'!$C$36)*'03_Định giá'!$C$12+'01_Số liệu gốc'!$C$65+'03_Định giá'!$C$207)*1000/'01_Số liệu gốc'!$B$8</f>
        <v>26599.999999999996</v>
      </c>
      <c r="C27" s="10" t="str">
        <f>IF(ABS(B27-'01_Số liệu gốc'!$B$11)&lt;0.01,"KHỚP","LỆCH")</f>
        <v>KHỚP</v>
      </c>
    </row>
    <row r="29" spans="1:6" x14ac:dyDescent="0.3">
      <c r="A29" s="11" t="s">
        <v>620</v>
      </c>
      <c r="B29" s="12"/>
      <c r="C29" s="12"/>
      <c r="D29" s="12"/>
      <c r="E29" s="12"/>
      <c r="F29" s="12"/>
    </row>
    <row r="30" spans="1:6" x14ac:dyDescent="0.3">
      <c r="A30" s="13" t="s">
        <v>83</v>
      </c>
      <c r="B30" s="13" t="s">
        <v>7</v>
      </c>
      <c r="C30" s="13" t="s">
        <v>8</v>
      </c>
      <c r="D30" s="13" t="s">
        <v>9</v>
      </c>
      <c r="E30" s="13"/>
      <c r="F30" s="13" t="s">
        <v>539</v>
      </c>
    </row>
    <row r="31" spans="1:6" x14ac:dyDescent="0.3">
      <c r="A31" s="14" t="s">
        <v>621</v>
      </c>
      <c r="B31" s="19">
        <f>'02_Giả định'!B75</f>
        <v>9.5000000000000001E-2</v>
      </c>
      <c r="C31" s="19">
        <f>'02_Giả định'!C75</f>
        <v>0.115</v>
      </c>
      <c r="D31" s="19">
        <f>'02_Giả định'!D75</f>
        <v>0.14000000000000001</v>
      </c>
    </row>
    <row r="32" spans="1:6" x14ac:dyDescent="0.3">
      <c r="A32" s="14" t="s">
        <v>622</v>
      </c>
      <c r="B32" s="19">
        <f>('03_Định giá'!B57+'03_Định giá'!B16*'03_Định giá'!B214*(1-'03_Định giá'!B37))/'01_Số liệu gốc'!$C$67</f>
        <v>8.8736515939914287E-2</v>
      </c>
      <c r="C32" s="19">
        <f>('03_Định giá'!C57+'03_Định giá'!C16*'03_Định giá'!C214*(1-'03_Định giá'!C37))/'01_Số liệu gốc'!$C$67</f>
        <v>0.11794997455227164</v>
      </c>
      <c r="D32" s="19">
        <f>('03_Định giá'!D57+'03_Định giá'!D16*'03_Định giá'!D214*(1-'03_Định giá'!D37))/'01_Số liệu gốc'!$C$67</f>
        <v>0.14755549051357159</v>
      </c>
    </row>
    <row r="33" spans="1:6" ht="24" x14ac:dyDescent="0.3">
      <c r="A33" s="9" t="s">
        <v>623</v>
      </c>
      <c r="B33" s="85">
        <f>(B32-B31)*100</f>
        <v>-0.62634840600857133</v>
      </c>
      <c r="C33" s="85">
        <f>(C32-C31)*100</f>
        <v>0.29499745522716392</v>
      </c>
      <c r="D33" s="85">
        <f>(D32-D31)*100</f>
        <v>0.75554905135715722</v>
      </c>
      <c r="F33" s="38" t="s">
        <v>624</v>
      </c>
    </row>
    <row r="35" spans="1:6" x14ac:dyDescent="0.3">
      <c r="A35" s="11" t="s">
        <v>625</v>
      </c>
      <c r="B35" s="12"/>
      <c r="C35" s="12"/>
      <c r="D35" s="12"/>
      <c r="E35" s="12"/>
      <c r="F35" s="12"/>
    </row>
    <row r="36" spans="1:6" ht="28.8" x14ac:dyDescent="0.3">
      <c r="A36" s="13" t="s">
        <v>626</v>
      </c>
      <c r="B36" s="13" t="s">
        <v>627</v>
      </c>
      <c r="C36" s="13" t="s">
        <v>628</v>
      </c>
      <c r="D36" s="13" t="s">
        <v>629</v>
      </c>
      <c r="E36" s="13"/>
      <c r="F36" s="13" t="s">
        <v>11</v>
      </c>
    </row>
    <row r="37" spans="1:6" x14ac:dyDescent="0.3">
      <c r="A37" s="9" t="s">
        <v>630</v>
      </c>
      <c r="B37" s="46">
        <v>11.06</v>
      </c>
      <c r="C37" s="46">
        <v>3.8</v>
      </c>
      <c r="D37" s="46">
        <v>9.2899999999999991</v>
      </c>
      <c r="F37" s="38" t="s">
        <v>631</v>
      </c>
    </row>
    <row r="38" spans="1:6" x14ac:dyDescent="0.3">
      <c r="A38" s="9" t="s">
        <v>632</v>
      </c>
      <c r="B38" s="46">
        <v>27.55</v>
      </c>
      <c r="C38" s="46">
        <v>5.36</v>
      </c>
      <c r="D38" s="46">
        <v>17.760000000000002</v>
      </c>
      <c r="F38" s="38" t="s">
        <v>633</v>
      </c>
    </row>
    <row r="39" spans="1:6" x14ac:dyDescent="0.3">
      <c r="A39" s="9" t="s">
        <v>634</v>
      </c>
      <c r="B39" s="46">
        <v>9.9700000000000006</v>
      </c>
      <c r="C39" s="46">
        <v>1.81</v>
      </c>
      <c r="D39" s="46">
        <v>8.66</v>
      </c>
      <c r="F39" s="38" t="s">
        <v>635</v>
      </c>
    </row>
    <row r="40" spans="1:6" x14ac:dyDescent="0.3">
      <c r="A40" s="9" t="s">
        <v>636</v>
      </c>
      <c r="B40" s="46">
        <v>11.51</v>
      </c>
      <c r="C40" s="46">
        <v>2.81</v>
      </c>
      <c r="D40" s="46">
        <v>10.38</v>
      </c>
      <c r="F40" s="38" t="s">
        <v>637</v>
      </c>
    </row>
    <row r="41" spans="1:6" x14ac:dyDescent="0.3">
      <c r="A41" s="9" t="s">
        <v>638</v>
      </c>
      <c r="B41" s="46">
        <v>11.18</v>
      </c>
      <c r="C41" s="46">
        <v>1.26</v>
      </c>
      <c r="D41" s="46">
        <v>10.82</v>
      </c>
      <c r="F41" s="38" t="s">
        <v>639</v>
      </c>
    </row>
    <row r="42" spans="1:6" x14ac:dyDescent="0.3">
      <c r="A42" s="9" t="s">
        <v>640</v>
      </c>
      <c r="B42" s="86">
        <f>MEDIAN(B37:B40)</f>
        <v>11.285</v>
      </c>
      <c r="C42" s="86">
        <f>MEDIAN(C37:C40)</f>
        <v>3.3049999999999997</v>
      </c>
      <c r="D42" s="86">
        <f>MEDIAN(D37:D40)</f>
        <v>9.8350000000000009</v>
      </c>
    </row>
    <row r="43" spans="1:6" x14ac:dyDescent="0.3">
      <c r="A43" s="17" t="s">
        <v>641</v>
      </c>
    </row>
    <row r="45" spans="1:6" x14ac:dyDescent="0.3">
      <c r="A45" s="11" t="s">
        <v>642</v>
      </c>
      <c r="B45" s="12"/>
      <c r="C45" s="12"/>
      <c r="D45" s="12"/>
      <c r="E45" s="12"/>
      <c r="F45" s="12"/>
    </row>
    <row r="46" spans="1:6" x14ac:dyDescent="0.3">
      <c r="A46" s="13" t="s">
        <v>83</v>
      </c>
      <c r="B46" s="13" t="s">
        <v>7</v>
      </c>
      <c r="C46" s="13" t="s">
        <v>8</v>
      </c>
      <c r="D46" s="13" t="s">
        <v>9</v>
      </c>
      <c r="E46" s="13"/>
      <c r="F46" s="13" t="s">
        <v>11</v>
      </c>
    </row>
    <row r="47" spans="1:6" x14ac:dyDescent="0.3">
      <c r="A47" s="14" t="s">
        <v>643</v>
      </c>
      <c r="B47" s="53">
        <v>9</v>
      </c>
      <c r="F47" s="38" t="s">
        <v>644</v>
      </c>
    </row>
    <row r="48" spans="1:6" ht="24" x14ac:dyDescent="0.3">
      <c r="A48" s="9" t="s">
        <v>645</v>
      </c>
      <c r="B48" s="23">
        <f>MAX(0,('03_Định giá'!B56*$B$47+'03_Định giá'!B214+'03_Định giá'!B207)*1000/'01_Số liệu gốc'!$B$8)</f>
        <v>17276.511244853471</v>
      </c>
      <c r="C48" s="23">
        <f>MAX(0,('03_Định giá'!C56*$B$47+'03_Định giá'!C214+'03_Định giá'!C207)*1000/'01_Số liệu gốc'!$B$8)</f>
        <v>28900.656355475938</v>
      </c>
      <c r="D48" s="23">
        <f>MAX(0,('03_Định giá'!D56*$B$47+'03_Định giá'!D214+'03_Định giá'!D207)*1000/'01_Số liệu gốc'!$B$8)</f>
        <v>37802.083551666205</v>
      </c>
      <c r="F48" s="38" t="s">
        <v>646</v>
      </c>
    </row>
    <row r="50" spans="1:6" x14ac:dyDescent="0.3">
      <c r="A50" s="11" t="s">
        <v>647</v>
      </c>
      <c r="B50" s="12"/>
      <c r="C50" s="12"/>
      <c r="D50" s="12"/>
      <c r="E50" s="12"/>
      <c r="F50" s="12"/>
    </row>
    <row r="51" spans="1:6" x14ac:dyDescent="0.3">
      <c r="A51" s="13" t="s">
        <v>83</v>
      </c>
      <c r="B51" s="13" t="s">
        <v>648</v>
      </c>
      <c r="C51" s="13" t="s">
        <v>649</v>
      </c>
      <c r="D51" s="13" t="s">
        <v>650</v>
      </c>
      <c r="E51" s="13" t="s">
        <v>651</v>
      </c>
      <c r="F51" s="13" t="s">
        <v>652</v>
      </c>
    </row>
    <row r="52" spans="1:6" x14ac:dyDescent="0.3">
      <c r="A52" s="9" t="s">
        <v>653</v>
      </c>
      <c r="B52" s="24">
        <f>'02_Giả định'!$B$56</f>
        <v>48.164720077968667</v>
      </c>
      <c r="C52" s="49">
        <f>'02_Giả định'!$C$56</f>
        <v>38.11436003898433</v>
      </c>
      <c r="D52" s="49">
        <f>'02_Giả định'!$D$56</f>
        <v>58.21508011695299</v>
      </c>
      <c r="E52" s="87"/>
      <c r="F52" s="9" t="str">
        <f>IF(E52="","CHỜ BCTC Q3 (cuối tháng 10/2026) — nhập LNST vào cột E",IF(E52&lt;C52,"DƯỚI DẢI — đà 6 tháng không giữ được: xem lại B và chi phí bán hàng ở 02",IF(E52&gt;D52,"TRÊN DẢI — xem có khoản bất thường không","TRONG DẢI")))</f>
        <v>CHỜ BCTC Q3 (cuối tháng 10/2026) — nhập LNST vào cột E</v>
      </c>
    </row>
    <row r="53" spans="1:6" x14ac:dyDescent="0.3">
      <c r="A53" s="17" t="s">
        <v>654</v>
      </c>
    </row>
    <row r="55" spans="1:6" x14ac:dyDescent="0.3">
      <c r="A55" s="11" t="s">
        <v>937</v>
      </c>
      <c r="B55" s="12"/>
      <c r="C55" s="12"/>
      <c r="D55" s="12"/>
      <c r="E55" s="12"/>
      <c r="F55" s="12"/>
    </row>
    <row r="56" spans="1:6" x14ac:dyDescent="0.3">
      <c r="A56" s="14" t="s">
        <v>938</v>
      </c>
    </row>
    <row r="57" spans="1:6" x14ac:dyDescent="0.3">
      <c r="A57" s="14" t="s">
        <v>658</v>
      </c>
    </row>
    <row r="58" spans="1:6" x14ac:dyDescent="0.3">
      <c r="A58" s="14" t="s">
        <v>898</v>
      </c>
    </row>
    <row r="59" spans="1:6" x14ac:dyDescent="0.3">
      <c r="A59" s="14" t="s">
        <v>899</v>
      </c>
    </row>
    <row r="60" spans="1:6" x14ac:dyDescent="0.3">
      <c r="A60" s="14" t="s">
        <v>659</v>
      </c>
    </row>
    <row r="61" spans="1:6" x14ac:dyDescent="0.3">
      <c r="A61" s="14" t="s">
        <v>831</v>
      </c>
    </row>
    <row r="62" spans="1:6" x14ac:dyDescent="0.3">
      <c r="A62" s="14" t="s">
        <v>660</v>
      </c>
    </row>
  </sheetData>
  <pageMargins left="0.4" right="0.4" top="0.7" bottom="0.6" header="0.5" footer="0.5"/>
  <pageSetup paperSize="9" scale="50" fitToHeight="0" orientation="landscape" r:id="rId1"/>
  <headerFooter>
    <oddHeader>&amp;R&amp;A&amp;LMCM — Định giá DCF + tiền + dự án</oddHeader>
    <oddFooter>&amp;RTrang &amp;P / &amp;N&amp;LFairline Research — bản 15/10/2026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pageSetUpPr fitToPage="1"/>
  </sheetPr>
  <dimension ref="A1:G74"/>
  <sheetViews>
    <sheetView showGridLines="0" zoomScale="90" workbookViewId="0">
      <pane xSplit="1" ySplit="3" topLeftCell="B4" activePane="bottomRight" state="frozen"/>
      <selection pane="topRight"/>
      <selection pane="bottomLeft"/>
      <selection pane="bottomRight" activeCell="A39" sqref="A39"/>
    </sheetView>
  </sheetViews>
  <sheetFormatPr defaultRowHeight="14.4" x14ac:dyDescent="0.3"/>
  <cols>
    <col min="1" max="1" width="62" customWidth="1"/>
    <col min="2" max="4" width="14" customWidth="1"/>
    <col min="5" max="5" width="16" customWidth="1"/>
    <col min="6" max="6" width="95" customWidth="1"/>
  </cols>
  <sheetData>
    <row r="1" spans="1:6" ht="18" x14ac:dyDescent="0.3">
      <c r="A1" s="1" t="s">
        <v>892</v>
      </c>
    </row>
    <row r="2" spans="1:6" x14ac:dyDescent="0.3">
      <c r="A2" s="17" t="s">
        <v>895</v>
      </c>
    </row>
    <row r="4" spans="1:6" x14ac:dyDescent="0.3">
      <c r="A4" s="11" t="s">
        <v>661</v>
      </c>
      <c r="B4" s="12"/>
      <c r="C4" s="12"/>
      <c r="D4" s="12"/>
      <c r="E4" s="12"/>
      <c r="F4" s="12"/>
    </row>
    <row r="5" spans="1:6" x14ac:dyDescent="0.3">
      <c r="A5" s="13" t="s">
        <v>294</v>
      </c>
      <c r="B5" s="13" t="s">
        <v>7</v>
      </c>
      <c r="C5" s="13" t="s">
        <v>8</v>
      </c>
      <c r="D5" s="13" t="s">
        <v>9</v>
      </c>
      <c r="E5" s="13" t="s">
        <v>662</v>
      </c>
      <c r="F5" s="13" t="s">
        <v>295</v>
      </c>
    </row>
    <row r="6" spans="1:6" ht="24" x14ac:dyDescent="0.3">
      <c r="A6" s="14" t="s">
        <v>663</v>
      </c>
      <c r="B6" s="32">
        <v>860</v>
      </c>
      <c r="C6" s="32">
        <v>784</v>
      </c>
      <c r="D6" s="32">
        <v>784</v>
      </c>
      <c r="E6" s="49">
        <f>'01_Số liệu gốc'!$B$110*'01_Số liệu gốc'!$B$111/('01_Số liệu gốc'!$B$111+'01_Số liệu gốc'!$B$112)</f>
        <v>784</v>
      </c>
      <c r="F6" s="38" t="s">
        <v>664</v>
      </c>
    </row>
    <row r="7" spans="1:6" ht="24" x14ac:dyDescent="0.3">
      <c r="A7" s="14" t="s">
        <v>665</v>
      </c>
      <c r="B7" s="32">
        <v>336</v>
      </c>
      <c r="C7" s="32">
        <v>336</v>
      </c>
      <c r="D7" s="32">
        <v>336</v>
      </c>
      <c r="E7" s="49">
        <f>'01_Số liệu gốc'!$B$110*(1-'01_Số liệu gốc'!$B$111/('01_Số liệu gốc'!$B$111+'01_Số liệu gốc'!$B$112))</f>
        <v>336.00000000000006</v>
      </c>
      <c r="F7" s="38" t="s">
        <v>939</v>
      </c>
    </row>
    <row r="8" spans="1:6" ht="24" x14ac:dyDescent="0.3">
      <c r="A8" s="14" t="s">
        <v>666</v>
      </c>
      <c r="B8" s="32">
        <v>18</v>
      </c>
      <c r="C8" s="32">
        <v>20</v>
      </c>
      <c r="D8" s="32">
        <v>22</v>
      </c>
      <c r="E8" s="49">
        <f>'01_Số liệu gốc'!$B$113</f>
        <v>20</v>
      </c>
      <c r="F8" s="38" t="s">
        <v>667</v>
      </c>
    </row>
    <row r="9" spans="1:6" x14ac:dyDescent="0.3">
      <c r="A9" s="14" t="s">
        <v>668</v>
      </c>
      <c r="B9" s="48">
        <v>0.3</v>
      </c>
      <c r="C9" s="48">
        <v>0.5</v>
      </c>
      <c r="D9" s="48">
        <v>0.6</v>
      </c>
      <c r="F9" s="38" t="s">
        <v>669</v>
      </c>
    </row>
    <row r="10" spans="1:6" ht="48" x14ac:dyDescent="0.3">
      <c r="A10" s="14" t="s">
        <v>670</v>
      </c>
      <c r="B10" s="34">
        <v>13000</v>
      </c>
      <c r="C10" s="34">
        <v>14500</v>
      </c>
      <c r="D10" s="34">
        <v>15000</v>
      </c>
      <c r="F10" s="38" t="s">
        <v>796</v>
      </c>
    </row>
    <row r="11" spans="1:6" ht="36" x14ac:dyDescent="0.3">
      <c r="A11" s="14" t="s">
        <v>671</v>
      </c>
      <c r="B11" s="34">
        <v>10500</v>
      </c>
      <c r="C11" s="34">
        <v>10500</v>
      </c>
      <c r="D11" s="34">
        <v>10500</v>
      </c>
      <c r="F11" s="38" t="s">
        <v>940</v>
      </c>
    </row>
    <row r="12" spans="1:6" x14ac:dyDescent="0.3">
      <c r="A12" s="14" t="s">
        <v>672</v>
      </c>
      <c r="B12" s="48">
        <v>0.05</v>
      </c>
      <c r="C12" s="48">
        <v>0.05</v>
      </c>
      <c r="D12" s="48">
        <v>0.05</v>
      </c>
      <c r="F12" s="38" t="s">
        <v>673</v>
      </c>
    </row>
    <row r="13" spans="1:6" x14ac:dyDescent="0.3">
      <c r="A13" s="14" t="s">
        <v>674</v>
      </c>
      <c r="B13" s="32">
        <v>15</v>
      </c>
      <c r="C13" s="32">
        <v>15</v>
      </c>
      <c r="D13" s="32">
        <v>15</v>
      </c>
      <c r="F13" s="38" t="s">
        <v>673</v>
      </c>
    </row>
    <row r="14" spans="1:6" x14ac:dyDescent="0.3">
      <c r="A14" s="14" t="s">
        <v>675</v>
      </c>
      <c r="B14" s="63">
        <v>20</v>
      </c>
      <c r="C14" s="63">
        <v>20</v>
      </c>
      <c r="D14" s="63">
        <v>20</v>
      </c>
      <c r="F14" s="38" t="s">
        <v>676</v>
      </c>
    </row>
    <row r="15" spans="1:6" ht="24" x14ac:dyDescent="0.3">
      <c r="A15" s="14" t="s">
        <v>677</v>
      </c>
      <c r="B15" s="32">
        <v>0</v>
      </c>
      <c r="C15" s="32">
        <v>10</v>
      </c>
      <c r="D15" s="32">
        <v>25</v>
      </c>
      <c r="F15" s="38" t="s">
        <v>678</v>
      </c>
    </row>
    <row r="17" spans="1:7" x14ac:dyDescent="0.3">
      <c r="A17" s="11" t="s">
        <v>679</v>
      </c>
      <c r="B17" s="12"/>
      <c r="C17" s="12"/>
      <c r="D17" s="12"/>
      <c r="E17" s="12"/>
      <c r="F17" s="12"/>
    </row>
    <row r="18" spans="1:7" x14ac:dyDescent="0.3">
      <c r="A18" s="13" t="s">
        <v>294</v>
      </c>
      <c r="B18" s="13" t="s">
        <v>7</v>
      </c>
      <c r="C18" s="13" t="s">
        <v>8</v>
      </c>
      <c r="D18" s="13" t="s">
        <v>9</v>
      </c>
      <c r="E18" s="13" t="s">
        <v>662</v>
      </c>
      <c r="F18" s="13" t="s">
        <v>295</v>
      </c>
    </row>
    <row r="19" spans="1:7" ht="24" x14ac:dyDescent="0.3">
      <c r="A19" s="14" t="s">
        <v>680</v>
      </c>
      <c r="B19" s="63">
        <v>1</v>
      </c>
      <c r="C19" s="63">
        <v>1</v>
      </c>
      <c r="D19" s="63">
        <v>1</v>
      </c>
      <c r="F19" s="38" t="s">
        <v>941</v>
      </c>
    </row>
    <row r="20" spans="1:7" x14ac:dyDescent="0.3">
      <c r="A20" s="14" t="s">
        <v>681</v>
      </c>
      <c r="B20" s="32">
        <v>850</v>
      </c>
      <c r="C20" s="32">
        <v>743</v>
      </c>
      <c r="D20" s="32">
        <v>743</v>
      </c>
      <c r="E20" s="49">
        <f>'01_Số liệu gốc'!$B$117</f>
        <v>743</v>
      </c>
      <c r="F20" s="38" t="s">
        <v>797</v>
      </c>
    </row>
    <row r="21" spans="1:7" ht="36" x14ac:dyDescent="0.3">
      <c r="A21" s="14" t="s">
        <v>682</v>
      </c>
      <c r="B21" s="63">
        <v>2032</v>
      </c>
      <c r="C21" s="63">
        <v>2030</v>
      </c>
      <c r="D21" s="63">
        <v>2030</v>
      </c>
      <c r="F21" s="38" t="s">
        <v>942</v>
      </c>
      <c r="G21" t="str">
        <f>IF(AND(MIN(B21:D21)&gt;=2028,MAX(B21:D21)&lt;=2032),"ĐẠT — năm có lãi trong 2028–2032","SAI — năm có lãi phải trong 2028–2032: năm khác làm 03 dòng 82 tính sai vốn nhà máy")</f>
        <v>ĐẠT — năm có lãi trong 2028–2032</v>
      </c>
    </row>
    <row r="22" spans="1:7" ht="36" x14ac:dyDescent="0.3">
      <c r="A22" s="14" t="s">
        <v>856</v>
      </c>
      <c r="B22" s="32">
        <v>20</v>
      </c>
      <c r="C22" s="32">
        <v>45</v>
      </c>
      <c r="D22" s="32">
        <v>45</v>
      </c>
      <c r="F22" s="38" t="s">
        <v>943</v>
      </c>
    </row>
    <row r="23" spans="1:7" ht="60" x14ac:dyDescent="0.3">
      <c r="A23" s="14" t="s">
        <v>857</v>
      </c>
      <c r="B23" s="32">
        <v>20</v>
      </c>
      <c r="C23" s="32">
        <v>90</v>
      </c>
      <c r="D23" s="32">
        <v>110</v>
      </c>
      <c r="F23" s="38" t="s">
        <v>944</v>
      </c>
    </row>
    <row r="24" spans="1:7" ht="36" x14ac:dyDescent="0.3">
      <c r="A24" s="14" t="s">
        <v>858</v>
      </c>
      <c r="B24" s="63">
        <v>2032</v>
      </c>
      <c r="C24" s="63">
        <v>2038</v>
      </c>
      <c r="D24" s="63">
        <v>2035</v>
      </c>
      <c r="F24" s="38" t="s">
        <v>945</v>
      </c>
    </row>
    <row r="25" spans="1:7" ht="24" x14ac:dyDescent="0.3">
      <c r="A25" s="14" t="s">
        <v>859</v>
      </c>
      <c r="B25" s="90">
        <v>0</v>
      </c>
      <c r="C25" s="101">
        <f>'02_Giả định'!$B$12</f>
        <v>0.03</v>
      </c>
      <c r="D25" s="101">
        <f>'02_Giả định'!$B$12</f>
        <v>0.03</v>
      </c>
      <c r="F25" s="38" t="s">
        <v>860</v>
      </c>
    </row>
    <row r="27" spans="1:7" x14ac:dyDescent="0.3">
      <c r="A27" s="11" t="s">
        <v>683</v>
      </c>
      <c r="B27" s="12"/>
      <c r="C27" s="12"/>
      <c r="D27" s="12"/>
      <c r="E27" s="12"/>
      <c r="F27" s="12"/>
    </row>
    <row r="28" spans="1:7" x14ac:dyDescent="0.3">
      <c r="A28" s="13" t="s">
        <v>83</v>
      </c>
      <c r="B28" s="13" t="s">
        <v>7</v>
      </c>
      <c r="C28" s="13" t="s">
        <v>8</v>
      </c>
      <c r="D28" s="13" t="s">
        <v>9</v>
      </c>
      <c r="E28" s="13"/>
      <c r="F28" s="13" t="s">
        <v>539</v>
      </c>
    </row>
    <row r="29" spans="1:7" x14ac:dyDescent="0.3">
      <c r="A29" s="14" t="s">
        <v>684</v>
      </c>
      <c r="B29" s="27">
        <f>'03_Định giá'!$B$65</f>
        <v>1196</v>
      </c>
      <c r="C29" s="27">
        <f>'03_Định giá'!$C$65</f>
        <v>1120</v>
      </c>
      <c r="D29" s="27">
        <f>'03_Định giá'!$D$65</f>
        <v>1120</v>
      </c>
      <c r="F29" s="38"/>
    </row>
    <row r="30" spans="1:7" x14ac:dyDescent="0.3">
      <c r="A30" s="14" t="s">
        <v>685</v>
      </c>
      <c r="B30" s="27">
        <f>'03_Định giá'!$B$66</f>
        <v>780.67899999999997</v>
      </c>
      <c r="C30" s="27">
        <f>'03_Định giá'!$C$66</f>
        <v>704.67899999999997</v>
      </c>
      <c r="D30" s="27">
        <f>'03_Định giá'!$D$66</f>
        <v>704.67899999999997</v>
      </c>
      <c r="F30" s="38" t="s">
        <v>686</v>
      </c>
    </row>
    <row r="31" spans="1:7" x14ac:dyDescent="0.3">
      <c r="A31" s="14" t="s">
        <v>687</v>
      </c>
      <c r="B31" s="27">
        <f>'03_Định giá'!$B$67</f>
        <v>245.7</v>
      </c>
      <c r="C31" s="27">
        <f>'03_Định giá'!$C$67</f>
        <v>304.5</v>
      </c>
      <c r="D31" s="27">
        <f>'03_Định giá'!$D$67</f>
        <v>346.5</v>
      </c>
      <c r="F31" s="38" t="s">
        <v>688</v>
      </c>
    </row>
    <row r="32" spans="1:7" x14ac:dyDescent="0.3">
      <c r="A32" s="14" t="s">
        <v>689</v>
      </c>
      <c r="B32" s="27">
        <f>'03_Định giá'!$B$68</f>
        <v>56.699999999999989</v>
      </c>
      <c r="C32" s="27">
        <f>'03_Định giá'!$C$68</f>
        <v>94.5</v>
      </c>
      <c r="D32" s="27">
        <f>'03_Định giá'!$D$68</f>
        <v>115.5</v>
      </c>
      <c r="F32" s="38" t="s">
        <v>690</v>
      </c>
    </row>
    <row r="33" spans="1:6" x14ac:dyDescent="0.3">
      <c r="A33" s="14" t="s">
        <v>691</v>
      </c>
      <c r="B33" s="27">
        <f>'03_Định giá'!$B$70</f>
        <v>13.699999999999989</v>
      </c>
      <c r="C33" s="27">
        <f>'03_Định giá'!$C$70</f>
        <v>55.3</v>
      </c>
      <c r="D33" s="27">
        <f>'03_Định giá'!$D$70</f>
        <v>76.3</v>
      </c>
      <c r="F33" s="38"/>
    </row>
    <row r="34" spans="1:6" x14ac:dyDescent="0.3">
      <c r="A34" s="9" t="s">
        <v>692</v>
      </c>
      <c r="B34" s="82">
        <f>'03_Định giá'!$B$72</f>
        <v>1.5930232558139523E-2</v>
      </c>
      <c r="C34" s="82">
        <f>'03_Định giá'!$C$72</f>
        <v>7.0535714285714285E-2</v>
      </c>
      <c r="D34" s="82">
        <f>'03_Định giá'!$D$72</f>
        <v>9.7321428571428573E-2</v>
      </c>
      <c r="F34" s="38" t="s">
        <v>693</v>
      </c>
    </row>
    <row r="35" spans="1:6" x14ac:dyDescent="0.3">
      <c r="A35" s="14" t="s">
        <v>694</v>
      </c>
      <c r="B35" s="27">
        <f>'03_Định giá'!$B$73</f>
        <v>0</v>
      </c>
      <c r="C35" s="27">
        <f>'03_Định giá'!$C$73</f>
        <v>8</v>
      </c>
      <c r="D35" s="27">
        <f>'03_Định giá'!$D$73</f>
        <v>20</v>
      </c>
      <c r="F35" s="38" t="s">
        <v>695</v>
      </c>
    </row>
    <row r="36" spans="1:6" x14ac:dyDescent="0.3">
      <c r="A36" s="14" t="s">
        <v>696</v>
      </c>
      <c r="B36" s="27">
        <f>'03_Định giá'!$B$74</f>
        <v>818.923</v>
      </c>
      <c r="C36" s="27">
        <f>'03_Định giá'!$C$74</f>
        <v>711.923</v>
      </c>
      <c r="D36" s="27">
        <f>'03_Định giá'!$D$74</f>
        <v>711.923</v>
      </c>
      <c r="F36" s="38"/>
    </row>
    <row r="37" spans="1:6" x14ac:dyDescent="0.3">
      <c r="A37" s="14" t="s">
        <v>900</v>
      </c>
      <c r="B37" s="19">
        <f>'03_Định giá'!$B$75</f>
        <v>2.3529411764705882E-2</v>
      </c>
      <c r="C37" s="19">
        <f>'03_Định giá'!$C$75</f>
        <v>0.12113055181695828</v>
      </c>
      <c r="D37" s="19">
        <f>'03_Định giá'!$D$75</f>
        <v>0.1480484522207268</v>
      </c>
      <c r="F37" s="38"/>
    </row>
    <row r="38" spans="1:6" x14ac:dyDescent="0.3">
      <c r="A38" s="9" t="s">
        <v>697</v>
      </c>
      <c r="B38" s="88">
        <f>'03_Định giá'!$B$205</f>
        <v>-412.21929590074933</v>
      </c>
      <c r="C38" s="88">
        <f>'03_Định giá'!$C$205</f>
        <v>-47.597289165183327</v>
      </c>
      <c r="D38" s="88">
        <f>'03_Định giá'!$D$205</f>
        <v>168.97143418885935</v>
      </c>
      <c r="F38" s="38" t="s">
        <v>698</v>
      </c>
    </row>
    <row r="39" spans="1:6" x14ac:dyDescent="0.3">
      <c r="A39" s="9" t="s">
        <v>699</v>
      </c>
      <c r="B39" s="88">
        <f>'03_Định giá'!$B$206</f>
        <v>-403.6738225699155</v>
      </c>
      <c r="C39" s="88">
        <f>'03_Định giá'!$C$206</f>
        <v>-104.93218025116477</v>
      </c>
      <c r="D39" s="88">
        <f>'03_Định giá'!$D$206</f>
        <v>33.363774861568231</v>
      </c>
      <c r="F39" s="38"/>
    </row>
    <row r="40" spans="1:6" x14ac:dyDescent="0.3">
      <c r="A40" s="9" t="s">
        <v>700</v>
      </c>
      <c r="B40" s="24">
        <f>'03_Định giá'!$B$207</f>
        <v>-815.89311847066483</v>
      </c>
      <c r="C40" s="24">
        <f>'03_Định giá'!$C$207</f>
        <v>-152.52946941634809</v>
      </c>
      <c r="D40" s="24">
        <f>'03_Định giá'!$D$207</f>
        <v>202.33520905042758</v>
      </c>
      <c r="F40" s="38" t="s">
        <v>701</v>
      </c>
    </row>
    <row r="41" spans="1:6" x14ac:dyDescent="0.3">
      <c r="A41" s="14" t="s">
        <v>497</v>
      </c>
      <c r="B41" s="15">
        <f>'03_Định giá'!$B$208</f>
        <v>-7417.2101679151347</v>
      </c>
      <c r="C41" s="15">
        <f>'03_Định giá'!$C$208</f>
        <v>-1386.631540148619</v>
      </c>
      <c r="D41" s="15">
        <f>'03_Định giá'!$D$208</f>
        <v>1839.4109913675234</v>
      </c>
      <c r="F41" s="38"/>
    </row>
    <row r="42" spans="1:6" x14ac:dyDescent="0.3">
      <c r="A42" s="9" t="s">
        <v>702</v>
      </c>
      <c r="B42" s="77">
        <f>'03_Định giá'!$B$210</f>
        <v>16463.200666375476</v>
      </c>
      <c r="C42" s="77">
        <f>'03_Định giá'!$C$210</f>
        <v>14850.970556345739</v>
      </c>
      <c r="D42" s="77">
        <f>'03_Định giá'!$D$210</f>
        <v>13881.184840508837</v>
      </c>
      <c r="F42" s="38" t="s">
        <v>703</v>
      </c>
    </row>
    <row r="43" spans="1:6" x14ac:dyDescent="0.3">
      <c r="A43" s="9" t="s">
        <v>896</v>
      </c>
      <c r="B43" s="88">
        <f>'03_Định giá'!$B$212</f>
        <v>120.02938032540011</v>
      </c>
      <c r="C43" s="88">
        <f>'03_Định giá'!$C$212</f>
        <v>117.92425092994175</v>
      </c>
      <c r="D43" s="88">
        <f>'03_Định giá'!$D$212</f>
        <v>102.65709089314323</v>
      </c>
      <c r="F43" s="38"/>
    </row>
    <row r="44" spans="1:6" x14ac:dyDescent="0.3">
      <c r="A44" s="14" t="s">
        <v>501</v>
      </c>
      <c r="B44" s="19">
        <f>'03_Định giá'!$B$213</f>
        <v>0.14121103567694132</v>
      </c>
      <c r="C44" s="19">
        <f>'03_Định giá'!$C$213</f>
        <v>0.15871366208605889</v>
      </c>
      <c r="D44" s="19">
        <f>'03_Định giá'!$D$213</f>
        <v>0.13816566742011202</v>
      </c>
      <c r="F44" s="38"/>
    </row>
    <row r="46" spans="1:6" x14ac:dyDescent="0.3">
      <c r="A46" s="11" t="s">
        <v>704</v>
      </c>
      <c r="B46" s="12"/>
      <c r="C46" s="12"/>
      <c r="D46" s="12"/>
      <c r="E46" s="12"/>
      <c r="F46" s="12"/>
    </row>
    <row r="47" spans="1:6" x14ac:dyDescent="0.3">
      <c r="A47" s="13" t="s">
        <v>32</v>
      </c>
      <c r="B47" s="13" t="s">
        <v>33</v>
      </c>
      <c r="C47" s="13" t="s">
        <v>34</v>
      </c>
      <c r="D47" s="13" t="s">
        <v>35</v>
      </c>
      <c r="E47" s="13" t="s">
        <v>36</v>
      </c>
      <c r="F47" s="13" t="s">
        <v>37</v>
      </c>
    </row>
    <row r="48" spans="1:6" x14ac:dyDescent="0.3">
      <c r="A48" s="14" t="s">
        <v>705</v>
      </c>
      <c r="B48" s="27">
        <f>'03_Định giá'!$C$86</f>
        <v>704.67899999999997</v>
      </c>
      <c r="C48" s="27">
        <f>'03_Định giá'!$C$110</f>
        <v>0</v>
      </c>
      <c r="D48" s="27">
        <f>'03_Định giá'!$C$134</f>
        <v>0</v>
      </c>
      <c r="E48" s="27">
        <f>'03_Định giá'!$C$158</f>
        <v>0</v>
      </c>
      <c r="F48" s="27">
        <f>'03_Định giá'!$C$182</f>
        <v>0</v>
      </c>
    </row>
    <row r="49" spans="1:6" x14ac:dyDescent="0.3">
      <c r="A49" s="14" t="s">
        <v>706</v>
      </c>
      <c r="B49" s="27">
        <f>'03_Định giá'!$C$87</f>
        <v>0</v>
      </c>
      <c r="C49" s="27">
        <f>'03_Định giá'!$C$111</f>
        <v>355.9615</v>
      </c>
      <c r="D49" s="27">
        <f>'03_Định giá'!$C$135</f>
        <v>355.9615</v>
      </c>
      <c r="E49" s="27">
        <f>'03_Định giá'!$C$159</f>
        <v>0</v>
      </c>
      <c r="F49" s="27">
        <f>'03_Định giá'!$C$183</f>
        <v>0</v>
      </c>
    </row>
    <row r="50" spans="1:6" x14ac:dyDescent="0.3">
      <c r="A50" s="14" t="s">
        <v>707</v>
      </c>
      <c r="B50" s="27">
        <f>'03_Định giá'!$C$91</f>
        <v>27.65</v>
      </c>
      <c r="C50" s="27">
        <f>'03_Định giá'!$C$115</f>
        <v>63.3</v>
      </c>
      <c r="D50" s="27">
        <f>'03_Định giá'!$C$139</f>
        <v>63.3</v>
      </c>
      <c r="E50" s="27">
        <f>'03_Định giá'!$C$163</f>
        <v>108.3</v>
      </c>
      <c r="F50" s="27">
        <f>'03_Định giá'!$C$187</f>
        <v>113.925</v>
      </c>
    </row>
    <row r="51" spans="1:6" x14ac:dyDescent="0.3">
      <c r="A51" s="14" t="s">
        <v>708</v>
      </c>
      <c r="B51" s="27">
        <f>'03_Định giá'!$C$92</f>
        <v>-667.69399999999996</v>
      </c>
      <c r="C51" s="27">
        <f>'03_Định giá'!$C$116</f>
        <v>81.17</v>
      </c>
      <c r="D51" s="27">
        <f>'03_Định giá'!$C$140</f>
        <v>81.17</v>
      </c>
      <c r="E51" s="27">
        <f>'03_Định giá'!$C$164</f>
        <v>81.17</v>
      </c>
      <c r="F51" s="27">
        <f>'03_Định giá'!$C$188</f>
        <v>81.17</v>
      </c>
    </row>
    <row r="52" spans="1:6" x14ac:dyDescent="0.3">
      <c r="A52" s="14" t="s">
        <v>709</v>
      </c>
      <c r="B52" s="27">
        <f>'03_Định giá'!$C$93</f>
        <v>0</v>
      </c>
      <c r="C52" s="27">
        <f>'03_Định giá'!$C$117</f>
        <v>-355.9615</v>
      </c>
      <c r="D52" s="27">
        <f>'03_Định giá'!$C$141</f>
        <v>-355.9615</v>
      </c>
      <c r="E52" s="27">
        <f>'03_Định giá'!$C$165</f>
        <v>40.5</v>
      </c>
      <c r="F52" s="27">
        <f>'03_Định giá'!$C$189</f>
        <v>45.5625</v>
      </c>
    </row>
    <row r="53" spans="1:6" x14ac:dyDescent="0.3">
      <c r="A53" s="17" t="s">
        <v>897</v>
      </c>
    </row>
    <row r="55" spans="1:6" x14ac:dyDescent="0.3">
      <c r="A55" s="11" t="s">
        <v>710</v>
      </c>
      <c r="B55" s="12"/>
      <c r="C55" s="12"/>
      <c r="D55" s="12"/>
      <c r="E55" s="12"/>
      <c r="F55" s="12"/>
    </row>
    <row r="56" spans="1:6" x14ac:dyDescent="0.3">
      <c r="A56" s="13" t="s">
        <v>83</v>
      </c>
      <c r="B56" s="13" t="s">
        <v>711</v>
      </c>
      <c r="C56" s="13"/>
      <c r="D56" s="13"/>
      <c r="E56" s="13" t="s">
        <v>9</v>
      </c>
      <c r="F56" s="13" t="s">
        <v>7</v>
      </c>
    </row>
    <row r="57" spans="1:6" x14ac:dyDescent="0.3">
      <c r="A57" s="9" t="s">
        <v>712</v>
      </c>
      <c r="B57" s="14" t="s">
        <v>713</v>
      </c>
      <c r="E57" s="14" t="s">
        <v>714</v>
      </c>
      <c r="F57" s="14" t="s">
        <v>715</v>
      </c>
    </row>
    <row r="58" spans="1:6" x14ac:dyDescent="0.3">
      <c r="A58" s="9" t="s">
        <v>716</v>
      </c>
      <c r="B58" s="14" t="s">
        <v>717</v>
      </c>
      <c r="E58" s="14" t="s">
        <v>718</v>
      </c>
      <c r="F58" s="14" t="s">
        <v>719</v>
      </c>
    </row>
    <row r="59" spans="1:6" x14ac:dyDescent="0.3">
      <c r="A59" s="9" t="s">
        <v>720</v>
      </c>
      <c r="B59" s="14" t="s">
        <v>656</v>
      </c>
      <c r="E59" s="14" t="s">
        <v>721</v>
      </c>
      <c r="F59" s="14" t="s">
        <v>722</v>
      </c>
    </row>
    <row r="60" spans="1:6" x14ac:dyDescent="0.3">
      <c r="A60" s="9" t="s">
        <v>75</v>
      </c>
      <c r="B60" s="14" t="s">
        <v>657</v>
      </c>
      <c r="E60" s="14" t="s">
        <v>723</v>
      </c>
      <c r="F60" s="14" t="s">
        <v>724</v>
      </c>
    </row>
    <row r="61" spans="1:6" x14ac:dyDescent="0.3">
      <c r="A61" s="9" t="s">
        <v>725</v>
      </c>
      <c r="B61" s="14" t="s">
        <v>655</v>
      </c>
      <c r="E61" s="14" t="s">
        <v>726</v>
      </c>
      <c r="F61" s="14" t="s">
        <v>727</v>
      </c>
    </row>
    <row r="62" spans="1:6" x14ac:dyDescent="0.3">
      <c r="A62" s="9" t="s">
        <v>728</v>
      </c>
      <c r="B62" s="14" t="s">
        <v>729</v>
      </c>
      <c r="E62" s="14" t="s">
        <v>730</v>
      </c>
      <c r="F62" s="14" t="s">
        <v>731</v>
      </c>
    </row>
    <row r="63" spans="1:6" x14ac:dyDescent="0.3">
      <c r="A63" s="9" t="s">
        <v>732</v>
      </c>
      <c r="B63" s="14" t="s">
        <v>733</v>
      </c>
      <c r="E63" s="14" t="s">
        <v>734</v>
      </c>
      <c r="F63" s="14" t="s">
        <v>735</v>
      </c>
    </row>
    <row r="64" spans="1:6" x14ac:dyDescent="0.3">
      <c r="A64" s="9" t="s">
        <v>736</v>
      </c>
      <c r="B64" s="14" t="s">
        <v>737</v>
      </c>
      <c r="E64" s="14" t="s">
        <v>738</v>
      </c>
      <c r="F64" s="14" t="s">
        <v>739</v>
      </c>
    </row>
    <row r="65" spans="1:6" x14ac:dyDescent="0.3">
      <c r="A65" s="9" t="s">
        <v>740</v>
      </c>
      <c r="B65" s="14" t="s">
        <v>741</v>
      </c>
      <c r="E65" s="14" t="s">
        <v>742</v>
      </c>
      <c r="F65" s="14" t="s">
        <v>743</v>
      </c>
    </row>
    <row r="67" spans="1:6" x14ac:dyDescent="0.3">
      <c r="A67" s="11" t="s">
        <v>946</v>
      </c>
      <c r="B67" s="12"/>
      <c r="C67" s="12"/>
      <c r="D67" s="12"/>
      <c r="E67" s="12"/>
      <c r="F67" s="12"/>
    </row>
    <row r="68" spans="1:6" x14ac:dyDescent="0.3">
      <c r="A68" s="14" t="s">
        <v>744</v>
      </c>
    </row>
    <row r="69" spans="1:6" x14ac:dyDescent="0.3">
      <c r="A69" s="14" t="s">
        <v>745</v>
      </c>
    </row>
    <row r="70" spans="1:6" x14ac:dyDescent="0.3">
      <c r="A70" s="14" t="s">
        <v>746</v>
      </c>
    </row>
    <row r="71" spans="1:6" x14ac:dyDescent="0.3">
      <c r="A71" s="14" t="s">
        <v>747</v>
      </c>
    </row>
    <row r="72" spans="1:6" x14ac:dyDescent="0.3">
      <c r="A72" s="14" t="s">
        <v>748</v>
      </c>
    </row>
    <row r="73" spans="1:6" x14ac:dyDescent="0.3">
      <c r="A73" s="14" t="s">
        <v>749</v>
      </c>
    </row>
    <row r="74" spans="1:6" x14ac:dyDescent="0.3">
      <c r="A74" s="14" t="s">
        <v>750</v>
      </c>
    </row>
  </sheetData>
  <dataValidations count="1">
    <dataValidation type="whole" allowBlank="1" showInputMessage="1" showErrorMessage="1" errorTitle="Năm ngoài 2028–2032" error="Chỉ nhận 2028–2032. Mô hình bắt đầu từ 2027: năm 2027 làm công thức 03 dòng 82 không trừ vốn nhà máy; từ 2033 bỏ mất nửa vốn. Xong Q4/2027 thì năm có lãi là 2028." promptTitle="Năm bắt đầu có lãi" prompt="2028–2032. Xong cuối năm X thì nhập X + 1." sqref="B21:D21" xr:uid="{513E80C1-ED63-46AA-907A-17416FB23CE5}">
      <formula1>2028</formula1>
      <formula2>2032</formula2>
    </dataValidation>
  </dataValidations>
  <pageMargins left="0.4" right="0.4" top="0.7" bottom="0.6" header="0.5" footer="0.5"/>
  <pageSetup paperSize="9" scale="51" fitToHeight="0" orientation="landscape" r:id="rId1"/>
  <headerFooter>
    <oddHeader>&amp;R&amp;A&amp;LMCM — Định giá DCF + tiền + dự án</oddHeader>
    <oddFooter>&amp;RTrang &amp;P / &amp;N&amp;LFairline Research — bản 15/10/2026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00_Tổng hợp</vt:lpstr>
      <vt:lpstr>01_Số liệu gốc</vt:lpstr>
      <vt:lpstr>02_Giả định</vt:lpstr>
      <vt:lpstr>03_Định giá</vt:lpstr>
      <vt:lpstr>04_Độ nhạy</vt:lpstr>
      <vt:lpstr>05_Đối chiếu</vt:lpstr>
      <vt:lpstr>06_Dự án</vt:lpstr>
      <vt:lpstr>'00_Tổng hợp'!Print_Area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MCM — Định giá DCF + tiền + dự án (15/10/2026)</dc:title>
  <dc:subject/>
  <dc:creator>Fairline Research</dc:creator>
  <cp:keywords/>
  <dc:description/>
  <cp:lastModifiedBy>Fairline Research</cp:lastModifiedBy>
  <dcterms:created xsi:type="dcterms:W3CDTF">2026-10-12T05:20:57Z</dcterms:created>
  <dcterms:modified xsi:type="dcterms:W3CDTF">2026-10-15T09:35:12Z</dcterms:modified>
</cp:coreProperties>
</file>